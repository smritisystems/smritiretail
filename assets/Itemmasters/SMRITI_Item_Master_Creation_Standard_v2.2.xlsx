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SMRITRretailNX\assets\Itemmasters\"/>
    </mc:Choice>
  </mc:AlternateContent>
  <xr:revisionPtr revIDLastSave="0" documentId="13_ncr:1_{8F18F19A-E215-49EF-BE9E-C2794C73C838}" xr6:coauthVersionLast="47" xr6:coauthVersionMax="47" xr10:uidLastSave="{00000000-0000-0000-0000-000000000000}"/>
  <bookViews>
    <workbookView xWindow="-120" yWindow="-120" windowWidth="38640" windowHeight="15720" tabRatio="500" activeTab="1" xr2:uid="{00000000-000D-0000-FFFF-FFFF00000000}"/>
  </bookViews>
  <sheets>
    <sheet name="Creation Workflow" sheetId="1" r:id="rId1"/>
    <sheet name="Item Master Template" sheetId="2" r:id="rId2"/>
    <sheet name="From System Master Lookup" sheetId="3" r:id="rId3"/>
    <sheet name="Field Notes &amp; Corrections" sheetId="4" r:id="rId4"/>
    <sheet name="Vendor Code Scheme" sheetId="5" r:id="rId5"/>
    <sheet name="Validation Lists" sheetId="6" state="hidden" r:id="rId6"/>
    <sheet name="Validation Rules" sheetId="7" r:id="rId7"/>
  </sheets>
  <definedNames>
    <definedName name="_xlnm._FilterDatabase" localSheetId="0" hidden="1">'Creation Workflow'!$A$4:$F$10</definedName>
    <definedName name="_xlnm._FilterDatabase" localSheetId="1" hidden="1">'Item Master Template'!$A$4:$AI$8</definedName>
    <definedName name="List_ARTICLE_STYLE_CODE">'Validation Lists'!$A$2:$A$100</definedName>
    <definedName name="List_BRAND_NAME">'Validation Lists'!$B$2:$B$50</definedName>
    <definedName name="List_COLLECTION_TYPE">'Validation Lists'!$P$2:$P$20</definedName>
    <definedName name="List_COLOR">'Validation Lists'!$C$2:$C$50</definedName>
    <definedName name="List_CREATION_STATUS">'Validation Lists'!$R$2:$R$5</definedName>
    <definedName name="List_DESIGN_ATTRIBUTE">'Validation Lists'!$I$2:$I$30</definedName>
    <definedName name="List_GENDER">'Validation Lists'!$E$2:$E$10</definedName>
    <definedName name="List_HEEL_TYPE">'Validation Lists'!$J$2:$J$20</definedName>
    <definedName name="List_MERCHANDISE_CATEGORY">'Validation Lists'!$G$2:$G$20</definedName>
    <definedName name="List_MERCHANDISE_DEPARTMENT">'Validation Lists'!$F$2:$F$20</definedName>
    <definedName name="List_OUTSOLE_MATERIAL">'Validation Lists'!$L$2:$L$20</definedName>
    <definedName name="List_PRODUCT_TYPE">'Validation Lists'!$H$2:$H$30</definedName>
    <definedName name="List_PURCHASE_CLASS">'Validation Lists'!$M$2:$M$10</definedName>
    <definedName name="List_SIZE">'Validation Lists'!$D$2:$D$50</definedName>
    <definedName name="List_UOM">'Validation Lists'!$O$2:$O$10</definedName>
    <definedName name="List_UPPER_MATERIAL">'Validation Lists'!$K$2:$K$20</definedName>
    <definedName name="List_VENDOR_CODE">'Validation Lists'!$N$2:$N$100</definedName>
    <definedName name="List_WAREHOUSE_CODE">'Validation Lists'!$S$2:$S$20</definedName>
    <definedName name="List_YN">'Validation Lists'!$Q$2:$Q$3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AJ7" i="2" l="1"/>
  <c r="AJ8" i="2"/>
  <c r="AI8" i="2"/>
  <c r="AI5" i="2"/>
  <c r="AJ5" i="2"/>
  <c r="AJ6" i="2"/>
  <c r="AI7" i="2"/>
  <c r="AI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GTIN-13. Auto-assign sequentially from GS1 India prefix 890. Never re-use.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Article-Color-Size-Class, HYPHEN-DELIMITED. e.g. CH-28-BLACK-36-O. Do not concatenate without delimiters.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MUST stay CONSTANT across all size/color variants of one style. Never increment per row.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BASIC / PARTY / FORMAL / CASUAL etc. (was an unlabeled column in source file)</t>
        </r>
      </text>
    </comment>
    <comment ref="H4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Article-Class-Color-Size, human readable</t>
        </r>
      </text>
    </comment>
    <comment ref="I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Statutory ceiling price, printed on label. Currency: INR</t>
        </r>
      </text>
    </comment>
    <comment ref="J4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Current active selling price (&lt;= MRP)</t>
        </r>
      </text>
    </comment>
    <comment ref="K4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Vendor purchase price, excl. freight/duty/packing</t>
        </r>
      </text>
    </comment>
    <comment ref="L4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Buying price + freight + duty + packing. Used for margin reporting. (was duplicate of Buying Price in source)</t>
        </r>
      </text>
    </comment>
    <comment ref="M4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5% if Selling Price &lt;= Rs.2,500/pair; 18% if &gt; Rs.2,500/pair (GST 2.0, eff. 22-Sep-2025). Recompute if price crosses threshold - do not hardcode.</t>
        </r>
      </text>
    </comment>
    <comment ref="N4" authorId="0" shapeId="0" xr:uid="{00000000-0006-0000-0100-00000B000000}">
      <text>
        <r>
          <rPr>
            <sz val="11"/>
            <color theme="1"/>
            <rFont val="Calibri"/>
            <family val="2"/>
            <charset val="1"/>
          </rPr>
          <t>6402 = rubber/plastic/synthetic upper. 6403 = LEATHER upper only. 6406 = parts. Confirm with CA before use.</t>
        </r>
      </text>
    </comment>
    <comment ref="O4" authorId="0" shapeId="0" xr:uid="{00000000-0006-0000-0100-00000C000000}">
      <text>
        <r>
          <rPr>
            <sz val="11"/>
            <color theme="1"/>
            <rFont val="Calibri"/>
            <family val="2"/>
            <charset val="1"/>
          </rPr>
          <t>LADIES / GENTS / KIDS / UNISEX</t>
        </r>
      </text>
    </comment>
    <comment ref="P4" authorId="0" shapeId="0" xr:uid="{00000000-0006-0000-0100-00000D000000}">
      <text>
        <r>
          <rPr>
            <sz val="11"/>
            <color theme="1"/>
            <rFont val="Calibri"/>
            <family val="2"/>
            <charset val="1"/>
          </rPr>
          <t>BASIC / PARTY (was mislabeled 'VENDOR CODE' in source)</t>
        </r>
      </text>
    </comment>
    <comment ref="Q4" authorId="0" shapeId="0" xr:uid="{00000000-0006-0000-0100-00000E000000}">
      <text>
        <r>
          <rPr>
            <sz val="11"/>
            <color theme="1"/>
            <rFont val="Calibri"/>
            <family val="2"/>
            <charset val="1"/>
          </rPr>
          <t>Alpha-only, sequential: A, B, C ... Z, AA, AB ... AZ, BA ... ZZ, AAA ...
See 'Vendor Code Scheme' tab for the full reference list and next-available code.</t>
        </r>
      </text>
    </comment>
    <comment ref="R4" authorId="0" shapeId="0" xr:uid="{00000000-0006-0000-0100-00000F000000}">
      <text>
        <r>
          <rPr>
            <sz val="11"/>
            <color theme="1"/>
            <rFont val="Calibri"/>
            <family val="2"/>
            <charset val="1"/>
          </rPr>
          <t>e.g. FOOTWEAR, APPAREL (was mislabeled 'DEPARTMENT' holding category text in source)</t>
        </r>
      </text>
    </comment>
    <comment ref="S4" authorId="0" shapeId="0" xr:uid="{00000000-0006-0000-0100-000010000000}">
      <text>
        <r>
          <rPr>
            <sz val="11"/>
            <color theme="1"/>
            <rFont val="Calibri"/>
            <family val="2"/>
            <charset val="1"/>
          </rPr>
          <t>e.g. LADIES FOOTWEAR (was correct in source, kept)</t>
        </r>
      </text>
    </comment>
    <comment ref="T4" authorId="0" shapeId="0" xr:uid="{00000000-0006-0000-0100-000011000000}">
      <text>
        <r>
          <rPr>
            <sz val="11"/>
            <color theme="1"/>
            <rFont val="Calibri"/>
            <family val="2"/>
            <charset val="1"/>
          </rPr>
          <t>SANDAL / CHAPPAL / SNEAKER etc. (was mislabeled 'MERCHANDISE CATEGORY' in source)</t>
        </r>
      </text>
    </comment>
    <comment ref="U4" authorId="0" shapeId="0" xr:uid="{00000000-0006-0000-0100-000012000000}">
      <text>
        <r>
          <rPr>
            <sz val="11"/>
            <color theme="1"/>
            <rFont val="Calibri"/>
            <family val="2"/>
            <charset val="1"/>
          </rPr>
          <t>e.g. BACK STRAP, CROSS (was mislabeled 'Sub category' in source)</t>
        </r>
      </text>
    </comment>
    <comment ref="W4" authorId="0" shapeId="0" xr:uid="{00000000-0006-0000-0100-000013000000}">
      <text>
        <r>
          <rPr>
            <sz val="11"/>
            <color theme="1"/>
            <rFont val="Calibri"/>
            <family val="2"/>
            <charset val="1"/>
          </rPr>
          <t>Drives correct HSN chapter - see HSN_CODE note</t>
        </r>
      </text>
    </comment>
    <comment ref="Y4" authorId="0" shapeId="0" xr:uid="{00000000-0006-0000-0100-000014000000}">
      <text>
        <r>
          <rPr>
            <sz val="11"/>
            <color theme="1"/>
            <rFont val="Calibri"/>
            <family val="2"/>
            <charset val="1"/>
          </rPr>
          <t>MUST be identical for every size/color row of the same ARTICLE_STYLE_CODE</t>
        </r>
      </text>
    </comment>
    <comment ref="Z4" authorId="0" shapeId="0" xr:uid="{00000000-0006-0000-0100-000015000000}">
      <text>
        <r>
          <rPr>
            <sz val="11"/>
            <color theme="1"/>
            <rFont val="Calibri"/>
            <family val="2"/>
            <charset val="1"/>
          </rPr>
          <t>Minimum pack/order quantity</t>
        </r>
      </text>
    </comment>
    <comment ref="AC4" authorId="0" shapeId="0" xr:uid="{00000000-0006-0000-0100-000016000000}">
      <text>
        <r>
          <rPr>
            <sz val="11"/>
            <color theme="1"/>
            <rFont val="Calibri"/>
            <family val="2"/>
            <charset val="1"/>
          </rPr>
          <t>Consider per-size velocity, not one flat number for all sizes of a style</t>
        </r>
      </text>
    </comment>
    <comment ref="AD4" authorId="0" shapeId="0" xr:uid="{00000000-0006-0000-0100-000017000000}">
      <text>
        <r>
          <rPr>
            <sz val="11"/>
            <color theme="1"/>
            <rFont val="Calibri"/>
            <family val="2"/>
            <charset val="1"/>
          </rPr>
          <t>Y/N</t>
        </r>
      </text>
    </comment>
    <comment ref="AE4" authorId="0" shapeId="0" xr:uid="{00000000-0006-0000-0100-000018000000}">
      <text>
        <r>
          <rPr>
            <sz val="11"/>
            <color theme="1"/>
            <rFont val="Calibri"/>
            <family val="2"/>
            <charset val="1"/>
          </rPr>
          <t>Y/N</t>
        </r>
      </text>
    </comment>
    <comment ref="AF4" authorId="0" shapeId="0" xr:uid="{00000000-0006-0000-0100-000019000000}">
      <text>
        <r>
          <rPr>
            <sz val="11"/>
            <color theme="1"/>
            <rFont val="Calibri"/>
            <family val="2"/>
            <charset val="1"/>
          </rPr>
          <t>Y/N</t>
        </r>
      </text>
    </comment>
    <comment ref="AG4" authorId="0" shapeId="0" xr:uid="{00000000-0006-0000-0100-00001A000000}">
      <text>
        <r>
          <rPr>
            <sz val="11"/>
            <color theme="1"/>
            <rFont val="Calibri"/>
            <family val="2"/>
            <charset val="1"/>
          </rPr>
          <t>Y/N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3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MUST stay CONSTANT across all size/color variants of one style. Never increment per row.</t>
        </r>
      </text>
    </comment>
    <comment ref="A7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LADIES / GENTS / KIDS / UNISEX</t>
        </r>
      </text>
    </comment>
    <comment ref="A8" authorId="0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>e.g. FOOTWEAR, APPAREL (was mislabeled 'DEPARTMENT' holding category text in source)</t>
        </r>
      </text>
    </comment>
    <comment ref="A9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e.g. LADIES FOOTWEAR (was correct in source, kept)</t>
        </r>
      </text>
    </comment>
    <comment ref="A10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SANDAL / CHAPPAL / SNEAKER etc. (was mislabeled 'MERCHANDISE CATEGORY' in source)</t>
        </r>
      </text>
    </comment>
    <comment ref="A11" authorId="0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>e.g. BACK STRAP, CROSS (was mislabeled 'Sub category' in source)</t>
        </r>
      </text>
    </comment>
    <comment ref="A13" authorId="0" shapeId="0" xr:uid="{00000000-0006-0000-0200-000007000000}">
      <text>
        <r>
          <rPr>
            <sz val="11"/>
            <color theme="1"/>
            <rFont val="Calibri"/>
            <family val="2"/>
            <charset val="1"/>
          </rPr>
          <t>Drives correct HSN chapter - see HSN_CODE note</t>
        </r>
      </text>
    </comment>
    <comment ref="A16" authorId="0" shapeId="0" xr:uid="{00000000-0006-0000-0200-000008000000}">
      <text>
        <r>
          <rPr>
            <sz val="11"/>
            <color theme="1"/>
            <rFont val="Calibri"/>
            <family val="2"/>
            <charset val="1"/>
          </rPr>
          <t>6402 = rubber/plastic/synthetic upper. 6403 = LEATHER upper only. 6406 = parts. Confirm with CA before use.</t>
        </r>
      </text>
    </comment>
    <comment ref="A17" authorId="0" shapeId="0" xr:uid="{00000000-0006-0000-0200-000009000000}">
      <text>
        <r>
          <rPr>
            <sz val="11"/>
            <color theme="1"/>
            <rFont val="Calibri"/>
            <family val="2"/>
            <charset val="1"/>
          </rPr>
          <t>5% if Selling Price &lt;= Rs.2,500/pair; 18% if &gt; Rs.2,500/pair (GST 2.0, eff. 22-Sep-2025). Recompute if price crosses threshold - do not hardcode.</t>
        </r>
      </text>
    </comment>
  </commentList>
</comments>
</file>

<file path=xl/sharedStrings.xml><?xml version="1.0" encoding="utf-8"?>
<sst xmlns="http://schemas.openxmlformats.org/spreadsheetml/2006/main" count="748" uniqueCount="430">
  <si>
    <t>SMRITI Retail OS — Item Master Creation Standard v2.1 (Ratified Ingestion Contract)</t>
  </si>
  <si>
    <t>3-Tier Hierarchy: Item (Parent Style) -&gt; ItemVariant (Size/Color SKU) -&gt; ItemBarcode (Physical EAN). Governed lookups, warehouse scoping &amp; price book safety gate.</t>
  </si>
  <si>
    <t>STEP</t>
  </si>
  <si>
    <t>SECTION</t>
  </si>
  <si>
    <t>USER ACTION</t>
  </si>
  <si>
    <t>SYSTEM CONTROL</t>
  </si>
  <si>
    <t>MANDATORY</t>
  </si>
  <si>
    <t>NOTES</t>
  </si>
  <si>
    <t>Identity</t>
  </si>
  <si>
    <t>Select Article Style, Brand, Collection, Gender</t>
  </si>
  <si>
    <t>Controlled lookup + duplicate/style checks</t>
  </si>
  <si>
    <t>Yes</t>
  </si>
  <si>
    <t>No free-text master creation</t>
  </si>
  <si>
    <t>Attributes</t>
  </si>
  <si>
    <t>Select Department, Category, Product Type, Color, Size and applicable attributes</t>
  </si>
  <si>
    <t>Controlled lookup; dependent values where supported</t>
  </si>
  <si>
    <t>Design Attribute may be optional</t>
  </si>
  <si>
    <t>Commercial</t>
  </si>
  <si>
    <t>Enter MRP, Selling Price, Buying Price, Landed Cost, GST, HSN</t>
  </si>
  <si>
    <t>Numeric validation + price rules</t>
  </si>
  <si>
    <t>Buying and landed cost remain separate</t>
  </si>
  <si>
    <t>Supply &amp; Inventory</t>
  </si>
  <si>
    <t>Select Vendor; enter Purchase Class, UOM and reorder settings</t>
  </si>
  <si>
    <t>Vendor/UOM controlled; quantity validation</t>
  </si>
  <si>
    <t>Vendor Code is system supplied</t>
  </si>
  <si>
    <t>System Control</t>
  </si>
  <si>
    <t>Confirm inventory/billable/service/tax flags</t>
  </si>
  <si>
    <t>Y/N validation + consistency rules</t>
  </si>
  <si>
    <t>Prevent contradictory combinations</t>
  </si>
  <si>
    <t>Generate</t>
  </si>
  <si>
    <t>Save item</t>
  </si>
  <si>
    <t>Validate SKU/barcode uniqueness; capture audit fields</t>
  </si>
  <si>
    <t>No duplicate SKU/barcode</t>
  </si>
  <si>
    <t>SMRITI Retail OS — Standard Item Master Creation Standard (v2.1 Ratified)</t>
  </si>
  <si>
    <t>MASTER_SNAPSHOT_DATE: 2026-09-26 | MASTER_SNAPSHOT_VERSION: SMRITI-MASTER-v2.1 | HIERARCHY: Item (Style) -&gt; Variant (SKU) -&gt; Barcode (EAN)</t>
  </si>
  <si>
    <t>Controlled fields use System Master lookups. SKU is a preview (Backend is authoritative). Barcode and SKU must be unique. Selling Price cannot exceed MRP.</t>
  </si>
  <si>
    <t>BARCODE_NO</t>
  </si>
  <si>
    <t>SKU_PREVIEW</t>
  </si>
  <si>
    <t>ARTICLE_STYLE_CODE</t>
  </si>
  <si>
    <t>COLLECTION_TYPE</t>
  </si>
  <si>
    <t>BRAND_NAME</t>
  </si>
  <si>
    <t>COLOR</t>
  </si>
  <si>
    <t>SIZE</t>
  </si>
  <si>
    <t>ITEM_DESCRIPTION</t>
  </si>
  <si>
    <t>MRP</t>
  </si>
  <si>
    <t>SELLING_PRICE</t>
  </si>
  <si>
    <t>BUYING_PRICE</t>
  </si>
  <si>
    <t>LANDED_COST_PRICE</t>
  </si>
  <si>
    <t>GST_RATE_PERCENT</t>
  </si>
  <si>
    <t>HSN_CODE</t>
  </si>
  <si>
    <t>GENDER</t>
  </si>
  <si>
    <t>PURCHASE_CLASS</t>
  </si>
  <si>
    <t>VENDOR_CODE</t>
  </si>
  <si>
    <t>MERCHANDISE_DEPARTMENT</t>
  </si>
  <si>
    <t>MERCHANDISE_CATEGORY</t>
  </si>
  <si>
    <t>PRODUCT_TYPE</t>
  </si>
  <si>
    <t>DESIGN_ATTRIBUTE</t>
  </si>
  <si>
    <t>HEEL_TYPE</t>
  </si>
  <si>
    <t>UPPER_MATERIAL</t>
  </si>
  <si>
    <t>OUTSOLE_MATERIAL</t>
  </si>
  <si>
    <t>IMAGE_LINK</t>
  </si>
  <si>
    <t>LEAST_SALABLE_QTY</t>
  </si>
  <si>
    <t>UOM</t>
  </si>
  <si>
    <t>WAREHOUSE_CODE</t>
  </si>
  <si>
    <t>REORDER_LEVEL</t>
  </si>
  <si>
    <t>TAX_INCLUSIVE_YN</t>
  </si>
  <si>
    <t>IS_INVENTORY_YN</t>
  </si>
  <si>
    <t>IS_BILLABLE_YN</t>
  </si>
  <si>
    <t>IS_SERVICE_YN</t>
  </si>
  <si>
    <t>CREATION_STATUS</t>
  </si>
  <si>
    <t>VALIDATION_STATUS</t>
  </si>
  <si>
    <t>VALIDATION_MESSAGE</t>
  </si>
  <si>
    <t>8904551005045</t>
  </si>
  <si>
    <t>CH-28</t>
  </si>
  <si>
    <t>BASIC</t>
  </si>
  <si>
    <t>TATTLY THREADS</t>
  </si>
  <si>
    <t>BLACK</t>
  </si>
  <si>
    <t>36</t>
  </si>
  <si>
    <t>CH-28-BASIC-BLACK-36</t>
  </si>
  <si>
    <t>6402</t>
  </si>
  <si>
    <t>LADIES</t>
  </si>
  <si>
    <t>SIS</t>
  </si>
  <si>
    <t>O</t>
  </si>
  <si>
    <t>FOOTWEAR</t>
  </si>
  <si>
    <t>LADIES FOOTWEAR</t>
  </si>
  <si>
    <t>CHAPPAL</t>
  </si>
  <si>
    <t>CROSS</t>
  </si>
  <si>
    <t>SMALL PLATFORM</t>
  </si>
  <si>
    <t>SYNTHETIC</t>
  </si>
  <si>
    <t>TPR</t>
  </si>
  <si>
    <t>Pair</t>
  </si>
  <si>
    <t>WH-MAIN</t>
  </si>
  <si>
    <t>Y</t>
  </si>
  <si>
    <t>N</t>
  </si>
  <si>
    <t>DRAFT</t>
  </si>
  <si>
    <t>8904551005052</t>
  </si>
  <si>
    <t>37</t>
  </si>
  <si>
    <t>CH-28-BASIC-BLACK-37</t>
  </si>
  <si>
    <t>8904551005182</t>
  </si>
  <si>
    <t>SND-12</t>
  </si>
  <si>
    <t>PARTY</t>
  </si>
  <si>
    <t>SND-12-PARTY-BLACK-36</t>
  </si>
  <si>
    <t>P</t>
  </si>
  <si>
    <t>SANDAL</t>
  </si>
  <si>
    <t>BACK STRAP</t>
  </si>
  <si>
    <t>BOX HEEL</t>
  </si>
  <si>
    <t>8904551005199</t>
  </si>
  <si>
    <t>SND-12-PARTY-BLACK-37</t>
  </si>
  <si>
    <t xml:space="preserve">not accept throug creating if user tries to create from itemmaster , always add through System Master lookup </t>
  </si>
  <si>
    <t xml:space="preserve">user can create and add throug itemmaster </t>
  </si>
  <si>
    <t xml:space="preserve">System Parameter Assigened </t>
  </si>
  <si>
    <t>Mandatory From System Master Lookup (Y/N)</t>
  </si>
  <si>
    <t>Corrections vs. Original Source File &amp; v2.1 Governance Ratification</t>
  </si>
  <si>
    <t>Issue Found in Source File</t>
  </si>
  <si>
    <t>Where</t>
  </si>
  <si>
    <t>Fix Applied in Template</t>
  </si>
  <si>
    <t>Why It Matters</t>
  </si>
  <si>
    <t>4th column had no header name; contained BASIC/PARTY</t>
  </si>
  <si>
    <t>Header row</t>
  </si>
  <si>
    <t>Named COLLECTION_TYPE</t>
  </si>
  <si>
    <t>Unnamed columns cause silent mis-mapping on import</t>
  </si>
  <si>
    <t>"VENDOR CODE" column actually held Purchase Class values (O/P)</t>
  </si>
  <si>
    <t>Col 16</t>
  </si>
  <si>
    <t>Renamed to PURCHASE_CLASS; real vendor code moved to new VENDOR_CODE column</t>
  </si>
  <si>
    <t>Downstream reports/filters keyed on the wrong meaning otherwise</t>
  </si>
  <si>
    <t>"PURCHASE CLASS" column actually held a code (SIS) unrelated to Basic/Party</t>
  </si>
  <si>
    <t>Col 17</t>
  </si>
  <si>
    <t>Renamed to VENDOR_CODE; sample vendor IDs added</t>
  </si>
  <si>
    <t>Same as above, reversed</t>
  </si>
  <si>
    <t>"DEPARTMENT" column held merchandise-category text (LADIES FTW)</t>
  </si>
  <si>
    <t>Col 18</t>
  </si>
  <si>
    <t>Renamed to MERCHANDISE_DEPARTMENT (Footwear); category text moved to MERCHANDISE_CATEGORY</t>
  </si>
  <si>
    <t>Department and category are different rollup levels; conflating them breaks hierarchy reports</t>
  </si>
  <si>
    <t>"MERCHANDISE CATEGORY" column held product-type text (SANDAL/CHAPPAL)</t>
  </si>
  <si>
    <t>Col 19</t>
  </si>
  <si>
    <t>Renamed to PRODUCT_TYPE</t>
  </si>
  <si>
    <t>Same as above</t>
  </si>
  <si>
    <t>"Sub category" column held a design attribute (BACK STRAP/CROSS), not a true sub-category</t>
  </si>
  <si>
    <t>Col 20</t>
  </si>
  <si>
    <t>Renamed to DESIGN_ATTRIBUTE</t>
  </si>
  <si>
    <t>Sets correct expectation for what values belong here</t>
  </si>
  <si>
    <t>Sandal styles (SND-12 through SND-25) used a DIFFERENT Article/Style code for every size, though IMAGE LINK proved they are all the same style</t>
  </si>
  <si>
    <t>SND rows, Article/Style column</t>
  </si>
  <si>
    <t>One ARTICLE_STYLE_CODE (SND-12) held constant across all its size/color rows, matching the correct CH-28 pattern</t>
  </si>
  <si>
    <t>Style-level sales rollup, size-curve analysis and reporting silently split into 14 fake "styles" otherwise</t>
  </si>
  <si>
    <t>SKU code concatenated with no delimiters (CH-28BLACK36O)</t>
  </si>
  <si>
    <t>Col 2</t>
  </si>
  <si>
    <t>Hyphen-delimited: CH-28-BLACK-36-O</t>
  </si>
  <si>
    <t>Prevents ambiguous parsing if the SKU string is ever split back into parts</t>
  </si>
  <si>
    <t>BUYING and COST PRICE were always identical</t>
  </si>
  <si>
    <t>Cols 11-12</t>
  </si>
  <si>
    <t>Split into BUYING_PRICE (vendor price) and LANDED_COST_PRICE (+freight/duty/packing)</t>
  </si>
  <si>
    <t>True landed cost is needed for accurate margin reporting</t>
  </si>
  <si>
    <t>HSN 64032012 used for all items despite UPPER_MATERIAL = SYNTHETIC</t>
  </si>
  <si>
    <t>Col 14</t>
  </si>
  <si>
    <t>Changed example to 6402 (rubber/plastic/synthetic upper); flagged for CA confirmation</t>
  </si>
  <si>
    <t>HSN 6403 is for leather uppers specifically; misclassification is a real GST compliance risk</t>
  </si>
  <si>
    <t>GST rate stored as a flat static number</t>
  </si>
  <si>
    <t>Col 13</t>
  </si>
  <si>
    <t>Added note: recompute against the Rs.2,500 GST 2.0 threshold whenever Selling Price changes</t>
  </si>
  <si>
    <t>A price crossing the threshold without a tax-rate update becomes a silent compliance bug</t>
  </si>
  <si>
    <t>SKU_CODE was treated as manual/authoritative in spreadsheet</t>
  </si>
  <si>
    <t>Renamed to SKU_PREVIEW with non-authoritative preview formula; backend generates canonical SKU</t>
  </si>
  <si>
    <t>Prevents format breakage and variant collisions across tenants</t>
  </si>
  <si>
    <t>REORDER_LEVEL had no warehouse context</t>
  </si>
  <si>
    <t>Col 28</t>
  </si>
  <si>
    <t>Added WAREHOUSE_CODE preceding REORDER_LEVEL</t>
  </si>
  <si>
    <t>SMRITI models reorder levels per warehouse (ItemWarehouseLocation)</t>
  </si>
  <si>
    <t>Footwear attributes (Gender, Heel, Upper, Outsole) lacked governance</t>
  </si>
  <si>
    <t>Cols 15, 22-24</t>
  </si>
  <si>
    <t>Governed via SMRITI Attribute Framework (AttributeDefinition/Group) into variant attributes</t>
  </si>
  <si>
    <t>Eliminates schema sprawl; supports any industry category without DB migrations</t>
  </si>
  <si>
    <t>Empty rows displayed permanent ERROR status due to COUNTA evaluating formula empty strings</t>
  </si>
  <si>
    <t>Col AI</t>
  </si>
  <si>
    <t>Updated formula to IF(AND(A5="",C5=""),"EMPTY",...)</t>
  </si>
  <si>
    <t>Eliminates 492 false ERROR cells on blank rows</t>
  </si>
  <si>
    <t>COUNTIF on empty SKU_PREVIEW caused false Duplicate SKU_PREVIEW error on blank rows</t>
  </si>
  <si>
    <t>Col AJ</t>
  </si>
  <si>
    <t>Guarded COUNTIF with AND(B5&lt;&gt;"", COUNTIF(...)&gt;1)</t>
  </si>
  <si>
    <t>Eliminates 492 false positive duplicate alarms on new row entry</t>
  </si>
  <si>
    <t>Contradiction where missing mandatory attributes showed ERROR in Col AI but OK in Col AJ</t>
  </si>
  <si>
    <t>Added Missing Mandatory Attributes branch in formula</t>
  </si>
  <si>
    <t>Synchronizes Col AI status with Col AJ message</t>
  </si>
  <si>
    <t>Validation Lists defined ranges were hardcoded to 1-2 cells, blocking standard colors/sizes/brands</t>
  </si>
  <si>
    <t>Validation Lists</t>
  </si>
  <si>
    <t>Expanded defined ranges (10 to 100 items) with comprehensive retail catalog values</t>
  </si>
  <si>
    <t>Allows multi-brand, multi-category retail entry without Excel range lockouts</t>
  </si>
  <si>
    <t>GST 2.0 dynamic threshold had no explicit validation rule</t>
  </si>
  <si>
    <t>Validation Rules</t>
  </si>
  <si>
    <t>Added Rule IM-013 flagging Selling Price &gt; Rs. 2,500 with GST &lt;= 5%</t>
  </si>
  <si>
    <t>Guarantees statutory tax compliance visibility before import</t>
  </si>
  <si>
    <t>SKU_PREVIEW formula generated double/trailing hyphens when attributes were empty</t>
  </si>
  <si>
    <t>Col B</t>
  </si>
  <si>
    <t>Updated formula with conditional delimiters</t>
  </si>
  <si>
    <t>Produces clean preview strings during drafting</t>
  </si>
  <si>
    <t>Vendor Code Scheme — Alpha-Only, Sequential</t>
  </si>
  <si>
    <t>Assumption confirmed with Ganita: A, B, C ... Z, then AA, AB ... AZ, then BA ... ZZ, then AAA onward. Assign the NEXT unused code to each new vendor — never re-use or skip.</t>
  </si>
  <si>
    <t>Sequence #</t>
  </si>
  <si>
    <t>Vendor Code</t>
  </si>
  <si>
    <t>Vendor Name (fill in)</t>
  </si>
  <si>
    <t>Status</t>
  </si>
  <si>
    <t>A</t>
  </si>
  <si>
    <t>Example Vendor 1 (Chappal)</t>
  </si>
  <si>
    <t>ASSIGNED</t>
  </si>
  <si>
    <t>B</t>
  </si>
  <si>
    <t>Example Vendor 2 (Sandal)</t>
  </si>
  <si>
    <t>C</t>
  </si>
  <si>
    <t>AVAILABLE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</si>
  <si>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</si>
  <si>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</si>
  <si>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</si>
  <si>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</si>
  <si>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</si>
  <si>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</si>
  <si>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</si>
  <si>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</si>
  <si>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</si>
  <si>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</si>
  <si>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Q</t>
  </si>
  <si>
    <t>R</t>
  </si>
  <si>
    <t>S</t>
  </si>
  <si>
    <t>T</t>
  </si>
  <si>
    <t>U</t>
  </si>
  <si>
    <t>V</t>
  </si>
  <si>
    <t>W</t>
  </si>
  <si>
    <t>X</t>
  </si>
  <si>
    <t>Z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</si>
  <si>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</si>
  <si>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</si>
  <si>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</si>
  <si>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</si>
  <si>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</si>
  <si>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</si>
  <si>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</si>
  <si>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</si>
  <si>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</si>
  <si>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</si>
  <si>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</si>
  <si>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</si>
  <si>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AM</t>
  </si>
  <si>
    <t>AN</t>
  </si>
  <si>
    <t>AO</t>
  </si>
  <si>
    <t>AP</t>
  </si>
  <si>
    <t>AQ</t>
  </si>
  <si>
    <t>AR</t>
  </si>
  <si>
    <t>AS</t>
  </si>
  <si>
    <t>AT</t>
  </si>
  <si>
    <t>AU</t>
  </si>
  <si>
    <t>AV</t>
  </si>
  <si>
    <t>AW</t>
  </si>
  <si>
    <t>AX</t>
  </si>
  <si>
    <t>AY</t>
  </si>
  <si>
    <t>AZ</t>
  </si>
  <si>
    <t>BA</t>
  </si>
  <si>
    <t>BB</t>
  </si>
  <si>
    <t>BC</t>
  </si>
  <si>
    <t>BD</t>
  </si>
  <si>
    <t>BE</t>
  </si>
  <si>
    <t>BF</t>
  </si>
  <si>
    <t>BG</t>
  </si>
  <si>
    <t>BH</t>
  </si>
  <si>
    <t>YN</t>
  </si>
  <si>
    <t>35</t>
  </si>
  <si>
    <t>Footwear</t>
  </si>
  <si>
    <t>FLAT</t>
  </si>
  <si>
    <t>SMRITI</t>
  </si>
  <si>
    <t>WHITE</t>
  </si>
  <si>
    <t>MENS</t>
  </si>
  <si>
    <t>LADIES FTW</t>
  </si>
  <si>
    <t>Apparel</t>
  </si>
  <si>
    <t>LEATHER</t>
  </si>
  <si>
    <t>EVA</t>
  </si>
  <si>
    <t>OUTRIGHT</t>
  </si>
  <si>
    <t>Pcs</t>
  </si>
  <si>
    <t>READY</t>
  </si>
  <si>
    <t>WH-STORE-01</t>
  </si>
  <si>
    <t>SND-13</t>
  </si>
  <si>
    <t>BEANSTALK</t>
  </si>
  <si>
    <t>BROWN</t>
  </si>
  <si>
    <t>KIDS</t>
  </si>
  <si>
    <t>MENS FTW</t>
  </si>
  <si>
    <t>Electronics</t>
  </si>
  <si>
    <t>SHOE</t>
  </si>
  <si>
    <t>TOE RING</t>
  </si>
  <si>
    <t>CANVAS</t>
  </si>
  <si>
    <t>RUBBER</t>
  </si>
  <si>
    <t>CONSIGNMENT</t>
  </si>
  <si>
    <t>Box</t>
  </si>
  <si>
    <t>CASUAL</t>
  </si>
  <si>
    <t>APPROVED</t>
  </si>
  <si>
    <t>CENTRAL-WH</t>
  </si>
  <si>
    <t>SND-14</t>
  </si>
  <si>
    <t>HERITAGE</t>
  </si>
  <si>
    <t>TAN</t>
  </si>
  <si>
    <t>38</t>
  </si>
  <si>
    <t>UNISEX</t>
  </si>
  <si>
    <t>KIDS FTW</t>
  </si>
  <si>
    <t>Accessories</t>
  </si>
  <si>
    <t>BOOT</t>
  </si>
  <si>
    <t>ONE STRAP</t>
  </si>
  <si>
    <t>WEDGE</t>
  </si>
  <si>
    <t>MESH</t>
  </si>
  <si>
    <t>PU</t>
  </si>
  <si>
    <t>SOR</t>
  </si>
  <si>
    <t>Set</t>
  </si>
  <si>
    <t>FORMAL</t>
  </si>
  <si>
    <t>BLOCKED</t>
  </si>
  <si>
    <t>RETAIL-STORE</t>
  </si>
  <si>
    <t>SND-15</t>
  </si>
  <si>
    <t>SWIFT</t>
  </si>
  <si>
    <t>BEIGE</t>
  </si>
  <si>
    <t>39</t>
  </si>
  <si>
    <t>ACCESSORIES</t>
  </si>
  <si>
    <t>Hardware</t>
  </si>
  <si>
    <t>SLIPPER</t>
  </si>
  <si>
    <t>DOUBLE STRAP</t>
  </si>
  <si>
    <t>KITTEN</t>
  </si>
  <si>
    <t>SUEDE</t>
  </si>
  <si>
    <t>PVC</t>
  </si>
  <si>
    <t>Meter</t>
  </si>
  <si>
    <t>FESTIVE</t>
  </si>
  <si>
    <t>WH-NORTH</t>
  </si>
  <si>
    <t>CH-29</t>
  </si>
  <si>
    <t>GENERIC</t>
  </si>
  <si>
    <t>RED</t>
  </si>
  <si>
    <t>40</t>
  </si>
  <si>
    <t>APPAREL</t>
  </si>
  <si>
    <t>General</t>
  </si>
  <si>
    <t>SNEAKER</t>
  </si>
  <si>
    <t>V-SHAPED</t>
  </si>
  <si>
    <t>BLOCK</t>
  </si>
  <si>
    <t>AIRMAX</t>
  </si>
  <si>
    <t>BRIDAL</t>
  </si>
  <si>
    <t>WH-SOUTH</t>
  </si>
  <si>
    <t>CH-30</t>
  </si>
  <si>
    <t>SMRITI LUXE</t>
  </si>
  <si>
    <t>NAVY</t>
  </si>
  <si>
    <t>41</t>
  </si>
  <si>
    <t>ANKLE STRAP</t>
  </si>
  <si>
    <t>STILETTO</t>
  </si>
  <si>
    <t>SHEET SOLE</t>
  </si>
  <si>
    <t>SPORTS</t>
  </si>
  <si>
    <t>SND-16</t>
  </si>
  <si>
    <t>BLUE</t>
  </si>
  <si>
    <t>42</t>
  </si>
  <si>
    <t>HEEL</t>
  </si>
  <si>
    <t>LACE UP</t>
  </si>
  <si>
    <t>CONE</t>
  </si>
  <si>
    <t>TEXTILE</t>
  </si>
  <si>
    <t>WORKWEAR</t>
  </si>
  <si>
    <t>SND-17</t>
  </si>
  <si>
    <t>GREY</t>
  </si>
  <si>
    <t>43</t>
  </si>
  <si>
    <t>LOAFER</t>
  </si>
  <si>
    <t>SLIP ON</t>
  </si>
  <si>
    <t>PLATFORM</t>
  </si>
  <si>
    <t>PATENT LEATHER</t>
  </si>
  <si>
    <t>TPU</t>
  </si>
  <si>
    <t>GOLD</t>
  </si>
  <si>
    <t>44</t>
  </si>
  <si>
    <t>MULE</t>
  </si>
  <si>
    <t>BUCKLE</t>
  </si>
  <si>
    <t>VELVET</t>
  </si>
  <si>
    <t>SILVER</t>
  </si>
  <si>
    <t>45</t>
  </si>
  <si>
    <t>CLOG</t>
  </si>
  <si>
    <t>PLAIN</t>
  </si>
  <si>
    <t>JACQUARD</t>
  </si>
  <si>
    <t>GREEN</t>
  </si>
  <si>
    <t>UK-3</t>
  </si>
  <si>
    <t>BELLIES</t>
  </si>
  <si>
    <t>PINK</t>
  </si>
  <si>
    <t>UK-4</t>
  </si>
  <si>
    <t>MAROON</t>
  </si>
  <si>
    <t>UK-5</t>
  </si>
  <si>
    <t>CREAM</t>
  </si>
  <si>
    <t>UK-6</t>
  </si>
  <si>
    <t>OLIVE</t>
  </si>
  <si>
    <t>UK-7</t>
  </si>
  <si>
    <t>MULTI</t>
  </si>
  <si>
    <t>UK-8</t>
  </si>
  <si>
    <t>UK-9</t>
  </si>
  <si>
    <t>UK-10</t>
  </si>
  <si>
    <t>XL</t>
  </si>
  <si>
    <t>XXL</t>
  </si>
  <si>
    <t>FS</t>
  </si>
  <si>
    <t>RULE ID</t>
  </si>
  <si>
    <t>RULE</t>
  </si>
  <si>
    <t>TYPE</t>
  </si>
  <si>
    <t>ACTION</t>
  </si>
  <si>
    <t>IM-001</t>
  </si>
  <si>
    <t>Controlled master fields use System Master Lookup</t>
  </si>
  <si>
    <t>CONTROLLED</t>
  </si>
  <si>
    <t>IM-002</t>
  </si>
  <si>
    <t>BARCODE_NO must be unique</t>
  </si>
  <si>
    <t>UNIQUENESS</t>
  </si>
  <si>
    <t>IM-003</t>
  </si>
  <si>
    <t>SKU_CODE must be unique</t>
  </si>
  <si>
    <t>IM-004</t>
  </si>
  <si>
    <t>ARTICLE_STYLE_CODE stays constant across style variants</t>
  </si>
  <si>
    <t>DATA INTEGRITY</t>
  </si>
  <si>
    <t>IM-005</t>
  </si>
  <si>
    <t>BUYING_PRICE and LANDED_COST_PRICE remain separate</t>
  </si>
  <si>
    <t>COSTING</t>
  </si>
  <si>
    <t>IM-006</t>
  </si>
  <si>
    <t>SELLING_PRICE must not exceed MRP without approved override</t>
  </si>
  <si>
    <t>PRICING</t>
  </si>
  <si>
    <t>BLOCK/OVERRIDE</t>
  </si>
  <si>
    <t>IM-007</t>
  </si>
  <si>
    <t>Vendor Code is system-assigned and never manually reused</t>
  </si>
  <si>
    <t>MASTER CONTROL</t>
  </si>
  <si>
    <t>IM-008</t>
  </si>
  <si>
    <t>Y/N control fields accept only Y or N</t>
  </si>
  <si>
    <t>CONTROL</t>
  </si>
  <si>
    <t>IM-009</t>
  </si>
  <si>
    <t>Inventory/billable/service flags must remain logically consistent</t>
  </si>
  <si>
    <t>BUSINESS RULE</t>
  </si>
  <si>
    <t>IM-010</t>
  </si>
  <si>
    <t>Approved items require audit information and creation status</t>
  </si>
  <si>
    <t>AUDIT</t>
  </si>
  <si>
    <t>IM-011</t>
  </si>
  <si>
    <t>REORDER_LEVEL must be qualified by a valid WAREHOUSE_CODE</t>
  </si>
  <si>
    <t>INVENTORY</t>
  </si>
  <si>
    <t>IM-012</t>
  </si>
  <si>
    <t>Imported prices require explicit Price Mode gate (DO_NOT_CREATE, DRAFT, LIVE)</t>
  </si>
  <si>
    <t>GOVERN</t>
  </si>
  <si>
    <t>IM-013</t>
  </si>
  <si>
    <t>Footwear selling price &gt; Rs. 2,500 requires GST rate &gt;= 18% (GST 2.0 threshold qc)</t>
  </si>
  <si>
    <t>TAX COMPLIANCE</t>
  </si>
  <si>
    <t>FLAG/REVIEW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</si>
</sst>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3"/>
      <color rgb="FF1F4E78"/>
      <name val="Arial"/>
      <family val="2"/>
    </font>
    <font>
      <i/>
      <sz val="9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color rgb="FFC00000"/>
      <name val="Arial"/>
      <family val="2"/>
    </font>
    <font>
      <i/>
      <sz val="10"/>
      <color rgb="FF40404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8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6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horizontal="center"/>
    </xf>
    <xf numFmtId="0" fontId="0" fillId="0" borderId="1" xfId="0" applyBorder="1"/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3" borderId="1" xfId="0" applyFont="1" applyFill="1" applyBorder="1" applyAlignment="1">
      <alignment vertical="top"/>
    </xf>
    <xf numFmtId="0" fontId="3" fillId="2" borderId="1" xfId="0" applyFont="1" applyFill="1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0" fillId="0" borderId="0" xfId="0" applyAlignment="1">
      <alignment vertical="top"/>
    </xf>
    <xf numFmtId="0" fontId="9" fillId="4" borderId="2" xfId="0" applyFont="1" applyFill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9" fillId="4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wrapText="1"/>
    </xf>
    <xf numFmtId="0" fontId="5" fillId="0" borderId="2" xfId="0" applyFont="1" applyBorder="1" applyAlignment="1">
      <alignment vertical="top" wrapText="1"/>
    </xf>
    <xf numFmtId="2" fontId="5" fillId="0" borderId="2" xfId="0" applyNumberFormat="1" applyFont="1" applyBorder="1" applyAlignment="1">
      <alignment vertical="top" wrapText="1"/>
    </xf>
    <xf numFmtId="0" fontId="0" fillId="5" borderId="0" xfId="0" applyFill="1" applyAlignment="1">
      <alignment wrapText="1"/>
    </xf>
    <xf numFmtId="0" fontId="0" fillId="0" borderId="0" xfId="0"/>
    <xf numFmtId="0" fontId="8" fillId="4" borderId="0" xfId="0" applyFont="1" applyFill="1" applyAlignment="1">
      <alignment vertical="center"/>
    </xf>
    <xf numFmtId="0" fontId="11" fillId="4" borderId="0" xfId="0" applyFont="1" applyFill="1"/>
    <xf numFmtId="0" fontId="2" fillId="5" borderId="0" xfId="0" applyFont="1" applyFill="1" applyAlignment="1">
      <alignment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3">
    <dxf>
      <fill>
        <patternFill patternType="solid">
          <fgColor rgb="FFFCE4D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pane ySplit="4" topLeftCell="A5" activePane="bottomLeft" state="frozen"/>
      <selection pane="bottomLeft" sqref="A1:F1"/>
    </sheetView>
  </sheetViews>
  <sheetFormatPr defaultRowHeight="15" x14ac:dyDescent="0.25"/>
  <cols>
    <col min="1" max="1" width="9" customWidth="1"/>
    <col min="2" max="2" width="22" customWidth="1"/>
    <col min="3" max="3" width="42" customWidth="1"/>
    <col min="4" max="4" width="48" customWidth="1"/>
    <col min="5" max="5" width="14" customWidth="1"/>
    <col min="6" max="6" width="42" customWidth="1"/>
  </cols>
  <sheetData>
    <row r="1" spans="1:6" ht="23.25" customHeight="1" x14ac:dyDescent="0.25">
      <c r="A1" s="21" t="s">
        <v>0</v>
      </c>
      <c r="B1" s="20"/>
      <c r="C1" s="20"/>
      <c r="D1" s="20"/>
      <c r="E1" s="20"/>
      <c r="F1" s="20"/>
    </row>
    <row r="2" spans="1:6" x14ac:dyDescent="0.25">
      <c r="A2" s="19" t="s">
        <v>1</v>
      </c>
      <c r="B2" s="20"/>
      <c r="C2" s="20"/>
      <c r="D2" s="20"/>
      <c r="E2" s="20"/>
      <c r="F2" s="20"/>
    </row>
    <row r="4" spans="1:6" x14ac:dyDescent="0.25">
      <c r="A4" s="12" t="s">
        <v>2</v>
      </c>
      <c r="B4" s="12" t="s">
        <v>3</v>
      </c>
      <c r="C4" s="12" t="s">
        <v>4</v>
      </c>
      <c r="D4" s="12" t="s">
        <v>5</v>
      </c>
      <c r="E4" s="12" t="s">
        <v>6</v>
      </c>
      <c r="F4" s="12" t="s">
        <v>7</v>
      </c>
    </row>
    <row r="5" spans="1:6" ht="30" customHeight="1" x14ac:dyDescent="0.25">
      <c r="A5" s="13">
        <v>1</v>
      </c>
      <c r="B5" s="14" t="s">
        <v>8</v>
      </c>
      <c r="C5" s="14" t="s">
        <v>9</v>
      </c>
      <c r="D5" s="14" t="s">
        <v>10</v>
      </c>
      <c r="E5" s="14" t="s">
        <v>11</v>
      </c>
      <c r="F5" s="14" t="s">
        <v>12</v>
      </c>
    </row>
    <row r="6" spans="1:6" ht="30" customHeight="1" x14ac:dyDescent="0.25">
      <c r="A6" s="13">
        <v>2</v>
      </c>
      <c r="B6" s="14" t="s">
        <v>13</v>
      </c>
      <c r="C6" s="14" t="s">
        <v>14</v>
      </c>
      <c r="D6" s="14" t="s">
        <v>15</v>
      </c>
      <c r="E6" s="14" t="s">
        <v>11</v>
      </c>
      <c r="F6" s="14" t="s">
        <v>16</v>
      </c>
    </row>
    <row r="7" spans="1:6" ht="30" customHeight="1" x14ac:dyDescent="0.25">
      <c r="A7" s="13">
        <v>3</v>
      </c>
      <c r="B7" s="14" t="s">
        <v>17</v>
      </c>
      <c r="C7" s="14" t="s">
        <v>18</v>
      </c>
      <c r="D7" s="14" t="s">
        <v>19</v>
      </c>
      <c r="E7" s="14" t="s">
        <v>11</v>
      </c>
      <c r="F7" s="14" t="s">
        <v>20</v>
      </c>
    </row>
    <row r="8" spans="1:6" ht="30" customHeight="1" x14ac:dyDescent="0.25">
      <c r="A8" s="13">
        <v>4</v>
      </c>
      <c r="B8" s="14" t="s">
        <v>21</v>
      </c>
      <c r="C8" s="14" t="s">
        <v>22</v>
      </c>
      <c r="D8" s="14" t="s">
        <v>23</v>
      </c>
      <c r="E8" s="14" t="s">
        <v>11</v>
      </c>
      <c r="F8" s="14" t="s">
        <v>24</v>
      </c>
    </row>
    <row r="9" spans="1:6" x14ac:dyDescent="0.25">
      <c r="A9" s="13">
        <v>5</v>
      </c>
      <c r="B9" s="14" t="s">
        <v>25</v>
      </c>
      <c r="C9" s="14" t="s">
        <v>26</v>
      </c>
      <c r="D9" s="14" t="s">
        <v>27</v>
      </c>
      <c r="E9" s="14" t="s">
        <v>11</v>
      </c>
      <c r="F9" s="14" t="s">
        <v>28</v>
      </c>
    </row>
    <row r="10" spans="1:6" ht="30" customHeight="1" x14ac:dyDescent="0.25">
      <c r="A10" s="13">
        <v>6</v>
      </c>
      <c r="B10" s="14" t="s">
        <v>29</v>
      </c>
      <c r="C10" s="14" t="s">
        <v>30</v>
      </c>
      <c r="D10" s="14" t="s">
        <v>31</v>
      </c>
      <c r="E10" s="14" t="s">
        <v>11</v>
      </c>
      <c r="F10" s="14" t="s">
        <v>32</v>
      </c>
    </row>
  </sheetData>
  <autoFilter ref="A4:F10" xr:uid="{00000000-0009-0000-0000-000000000000}"/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8"/>
  <sheetViews>
    <sheetView tabSelected="1" zoomScaleNormal="100" workbookViewId="0">
      <pane ySplit="4" topLeftCell="A5" activePane="bottomLeft" state="frozen"/>
      <selection pane="bottomLeft" activeCell="A9" sqref="A9:XFD21"/>
    </sheetView>
  </sheetViews>
  <sheetFormatPr defaultColWidth="8.7109375" defaultRowHeight="15" x14ac:dyDescent="0.25"/>
  <cols>
    <col min="1" max="1" width="18" customWidth="1"/>
    <col min="2" max="2" width="24" customWidth="1"/>
    <col min="3" max="3" width="20" customWidth="1"/>
    <col min="4" max="4" width="18" customWidth="1"/>
    <col min="5" max="5" width="20" customWidth="1"/>
    <col min="6" max="6" width="14" customWidth="1"/>
    <col min="7" max="7" width="12" customWidth="1"/>
    <col min="8" max="8" width="34" customWidth="1"/>
    <col min="9" max="9" width="14" customWidth="1"/>
    <col min="10" max="11" width="16" customWidth="1"/>
    <col min="12" max="12" width="20" customWidth="1"/>
    <col min="13" max="13" width="16" customWidth="1"/>
    <col min="14" max="15" width="14" customWidth="1"/>
    <col min="16" max="16" width="16" customWidth="1"/>
    <col min="17" max="17" width="14" customWidth="1"/>
    <col min="18" max="19" width="24" customWidth="1"/>
    <col min="20" max="20" width="18" customWidth="1"/>
    <col min="21" max="25" width="20" customWidth="1"/>
    <col min="26" max="26" width="18" customWidth="1"/>
    <col min="27" max="27" width="12" customWidth="1"/>
    <col min="28" max="29" width="16" customWidth="1"/>
    <col min="30" max="31" width="18" customWidth="1"/>
    <col min="32" max="32" width="16" customWidth="1"/>
    <col min="33" max="34" width="18" customWidth="1"/>
    <col min="35" max="35" width="32" customWidth="1"/>
  </cols>
  <sheetData>
    <row r="1" spans="1:36" ht="15.75" customHeight="1" x14ac:dyDescent="0.35">
      <c r="A1" s="22" t="s">
        <v>33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</row>
    <row r="2" spans="1:36" ht="15" customHeight="1" x14ac:dyDescent="0.25">
      <c r="A2" s="23" t="s">
        <v>34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6" x14ac:dyDescent="0.25">
      <c r="A3" t="s">
        <v>35</v>
      </c>
    </row>
    <row r="4" spans="1:36" ht="42" customHeight="1" x14ac:dyDescent="0.25">
      <c r="A4" s="15" t="s">
        <v>36</v>
      </c>
      <c r="B4" s="15" t="s">
        <v>37</v>
      </c>
      <c r="C4" s="15" t="s">
        <v>38</v>
      </c>
      <c r="D4" s="15" t="s">
        <v>39</v>
      </c>
      <c r="E4" s="15" t="s">
        <v>40</v>
      </c>
      <c r="F4" s="15" t="s">
        <v>41</v>
      </c>
      <c r="G4" s="15" t="s">
        <v>42</v>
      </c>
      <c r="H4" s="15" t="s">
        <v>43</v>
      </c>
      <c r="I4" s="15" t="s">
        <v>44</v>
      </c>
      <c r="J4" s="15" t="s">
        <v>45</v>
      </c>
      <c r="K4" s="15" t="s">
        <v>46</v>
      </c>
      <c r="L4" s="15" t="s">
        <v>47</v>
      </c>
      <c r="M4" s="15" t="s">
        <v>48</v>
      </c>
      <c r="N4" s="15" t="s">
        <v>49</v>
      </c>
      <c r="O4" s="15" t="s">
        <v>50</v>
      </c>
      <c r="P4" s="15" t="s">
        <v>51</v>
      </c>
      <c r="Q4" s="15" t="s">
        <v>52</v>
      </c>
      <c r="R4" s="15" t="s">
        <v>53</v>
      </c>
      <c r="S4" s="15" t="s">
        <v>54</v>
      </c>
      <c r="T4" s="15" t="s">
        <v>55</v>
      </c>
      <c r="U4" s="15" t="s">
        <v>56</v>
      </c>
      <c r="V4" s="15" t="s">
        <v>57</v>
      </c>
      <c r="W4" s="15" t="s">
        <v>58</v>
      </c>
      <c r="X4" s="15" t="s">
        <v>59</v>
      </c>
      <c r="Y4" s="15" t="s">
        <v>60</v>
      </c>
      <c r="Z4" s="15" t="s">
        <v>61</v>
      </c>
      <c r="AA4" s="15" t="s">
        <v>62</v>
      </c>
      <c r="AB4" t="s">
        <v>63</v>
      </c>
      <c r="AC4" s="15" t="s">
        <v>64</v>
      </c>
      <c r="AD4" s="15" t="s">
        <v>65</v>
      </c>
      <c r="AE4" s="15" t="s">
        <v>66</v>
      </c>
      <c r="AF4" s="15" t="s">
        <v>67</v>
      </c>
      <c r="AG4" s="15" t="s">
        <v>68</v>
      </c>
      <c r="AH4" s="16" t="s">
        <v>69</v>
      </c>
      <c r="AI4" s="16" t="s">
        <v>70</v>
      </c>
      <c r="AJ4" s="16" t="s">
        <v>71</v>
      </c>
    </row>
    <row r="5" spans="1:36" ht="15" customHeight="1" x14ac:dyDescent="0.25">
      <c r="A5" s="17" t="s">
        <v>72</v>
      </c>
      <c r="B5" s="17" t="str">
        <f t="shared" ref="B5:B8" si="0">IF(C5="","",C5&amp;IF(F5&lt;&gt;"","-"&amp;F5,"")&amp;IF(G5&lt;&gt;"","-"&amp;G5,"")&amp;IF(Q5&lt;&gt;"","-"&amp;Q5,""))</f>
        <v>CH-28-BLACK-36-O</v>
      </c>
      <c r="C5" s="17" t="s">
        <v>73</v>
      </c>
      <c r="D5" s="17" t="s">
        <v>74</v>
      </c>
      <c r="E5" s="17" t="s">
        <v>75</v>
      </c>
      <c r="F5" s="17" t="s">
        <v>76</v>
      </c>
      <c r="G5" s="17" t="s">
        <v>77</v>
      </c>
      <c r="H5" s="17" t="s">
        <v>78</v>
      </c>
      <c r="I5" s="18">
        <v>1899</v>
      </c>
      <c r="J5" s="18">
        <v>1899</v>
      </c>
      <c r="K5" s="18">
        <v>470</v>
      </c>
      <c r="L5" s="18">
        <v>495</v>
      </c>
      <c r="M5" s="18">
        <v>5</v>
      </c>
      <c r="N5" s="17" t="s">
        <v>79</v>
      </c>
      <c r="O5" s="17" t="s">
        <v>80</v>
      </c>
      <c r="P5" s="14" t="s">
        <v>81</v>
      </c>
      <c r="Q5" s="17" t="s">
        <v>82</v>
      </c>
      <c r="R5" s="17" t="s">
        <v>83</v>
      </c>
      <c r="S5" s="17" t="s">
        <v>84</v>
      </c>
      <c r="T5" s="17" t="s">
        <v>85</v>
      </c>
      <c r="U5" s="17" t="s">
        <v>86</v>
      </c>
      <c r="V5" s="17" t="s">
        <v>87</v>
      </c>
      <c r="W5" s="17" t="s">
        <v>88</v>
      </c>
      <c r="X5" s="17" t="s">
        <v>89</v>
      </c>
      <c r="Y5" s="17" t="s">
        <v>73</v>
      </c>
      <c r="Z5" s="18">
        <v>1</v>
      </c>
      <c r="AA5" s="17" t="s">
        <v>90</v>
      </c>
      <c r="AB5" t="s">
        <v>91</v>
      </c>
      <c r="AC5" s="18">
        <v>60</v>
      </c>
      <c r="AD5" s="17" t="s">
        <v>92</v>
      </c>
      <c r="AE5" s="17" t="s">
        <v>92</v>
      </c>
      <c r="AF5" s="17" t="s">
        <v>92</v>
      </c>
      <c r="AG5" s="17" t="s">
        <v>93</v>
      </c>
      <c r="AH5" s="14" t="s">
        <v>94</v>
      </c>
      <c r="AI5" s="14" t="str">
        <f>IF(AND(A5="",C5=""),"EMPTY",IF(OR(A5="",C5="",E5="",F5="",G5="",I5="",J5="",K5="",L5="",M5="",N5="",O5="",P5="",R5="",S5="",T5="",W5="",AA5="",AB5="",AC5="",AD5="",AE5="",AF5="",AG5=""),"ERROR",IF(OR(AND(A5&lt;&gt;"",COUNTIF($A$5:$A$8,A5)&gt;1),AND(B5&lt;&gt;"",COUNTIF($B$5:$B$8,B5)&gt;1)),"DUPLICATE",IF(J5&gt;I5,"ERROR","READY"))))</f>
        <v>READY</v>
      </c>
      <c r="AJ5" s="14" t="str">
        <f>IF(AND(A5="",C5=""),"",IF(AND(A5&lt;&gt;"",COUNTIF($A$5:$A$8,A5)&gt;1),"Duplicate BARCODE_NO",IF(AND(B5&lt;&gt;"",COUNTIF($B$5:$B$8,B5)&gt;1),"Duplicate SKU_PREVIEW",IF(J5&gt;I5,"SELLING_PRICE &gt; MRP",IF(OR(AB5="",AC5=""),"Missing Warehouse/Reorder",IF(OR(C5="",E5="",F5="",G5="",I5="",J5="",K5="",M5="",N5=""),"Missing Mandatory Attributes","OK"))))))</f>
        <v>OK</v>
      </c>
    </row>
    <row r="6" spans="1:36" ht="15" customHeight="1" x14ac:dyDescent="0.25">
      <c r="A6" s="17" t="s">
        <v>95</v>
      </c>
      <c r="B6" s="17" t="str">
        <f t="shared" si="0"/>
        <v>CH-28-BLACK-37-O</v>
      </c>
      <c r="C6" s="17" t="s">
        <v>73</v>
      </c>
      <c r="D6" s="17" t="s">
        <v>74</v>
      </c>
      <c r="E6" s="17" t="s">
        <v>75</v>
      </c>
      <c r="F6" s="17" t="s">
        <v>76</v>
      </c>
      <c r="G6" s="17" t="s">
        <v>96</v>
      </c>
      <c r="H6" s="17" t="s">
        <v>97</v>
      </c>
      <c r="I6" s="18">
        <v>1899</v>
      </c>
      <c r="J6" s="18">
        <v>1899</v>
      </c>
      <c r="K6" s="18">
        <v>470</v>
      </c>
      <c r="L6" s="18">
        <v>495</v>
      </c>
      <c r="M6" s="18">
        <v>5</v>
      </c>
      <c r="N6" s="17" t="s">
        <v>79</v>
      </c>
      <c r="O6" s="17" t="s">
        <v>80</v>
      </c>
      <c r="P6" s="14" t="s">
        <v>81</v>
      </c>
      <c r="Q6" s="17" t="s">
        <v>82</v>
      </c>
      <c r="R6" s="17" t="s">
        <v>83</v>
      </c>
      <c r="S6" s="17" t="s">
        <v>84</v>
      </c>
      <c r="T6" s="17" t="s">
        <v>85</v>
      </c>
      <c r="U6" s="17" t="s">
        <v>86</v>
      </c>
      <c r="V6" s="17" t="s">
        <v>87</v>
      </c>
      <c r="W6" s="17" t="s">
        <v>88</v>
      </c>
      <c r="X6" s="17" t="s">
        <v>89</v>
      </c>
      <c r="Y6" s="17" t="s">
        <v>73</v>
      </c>
      <c r="Z6" s="18">
        <v>1</v>
      </c>
      <c r="AA6" s="17" t="s">
        <v>90</v>
      </c>
      <c r="AB6" t="s">
        <v>91</v>
      </c>
      <c r="AC6" s="18">
        <v>60</v>
      </c>
      <c r="AD6" s="17" t="s">
        <v>92</v>
      </c>
      <c r="AE6" s="17" t="s">
        <v>92</v>
      </c>
      <c r="AF6" s="17" t="s">
        <v>92</v>
      </c>
      <c r="AG6" s="17" t="s">
        <v>93</v>
      </c>
      <c r="AH6" s="14" t="s">
        <v>94</v>
      </c>
      <c r="AI6" s="14" t="str">
        <f>IF(AND(A6="",C6=""),"EMPTY",IF(OR(A6="",C6="",E6="",F6="",G6="",I6="",J6="",K6="",L6="",M6="",N6="",O6="",P6="",R6="",S6="",T6="",W6="",AA6="",AB6="",AC6="",AD6="",AE6="",AF6="",AG6=""),"ERROR",IF(OR(AND(A6&lt;&gt;"",COUNTIF($A$5:$A$8,A6)&gt;1),AND(B6&lt;&gt;"",COUNTIF($B$5:$B$8,B6)&gt;1)),"DUPLICATE",IF(J6&gt;I6,"ERROR","READY"))))</f>
        <v>READY</v>
      </c>
      <c r="AJ6" s="14" t="str">
        <f>IF(AND(A6="",C6=""),"",IF(AND(A6&lt;&gt;"",COUNTIF($A$5:$A$8,A6)&gt;1),"Duplicate BARCODE_NO",IF(AND(B6&lt;&gt;"",COUNTIF($B$5:$B$8,B6)&gt;1),"Duplicate SKU_PREVIEW",IF(J6&gt;I6,"SELLING_PRICE &gt; MRP",IF(OR(AB6="",AC6=""),"Missing Warehouse/Reorder",IF(OR(C6="",E6="",F6="",G6="",I6="",J6="",K6="",M6="",N6=""),"Missing Mandatory Attributes","OK"))))))</f>
        <v>OK</v>
      </c>
    </row>
    <row r="7" spans="1:36" ht="15" customHeight="1" x14ac:dyDescent="0.25">
      <c r="A7" s="17" t="s">
        <v>98</v>
      </c>
      <c r="B7" s="17" t="str">
        <f t="shared" si="0"/>
        <v>SND-12-BLACK-36-P</v>
      </c>
      <c r="C7" s="17" t="s">
        <v>99</v>
      </c>
      <c r="D7" s="17" t="s">
        <v>100</v>
      </c>
      <c r="E7" s="17" t="s">
        <v>75</v>
      </c>
      <c r="F7" s="17" t="s">
        <v>76</v>
      </c>
      <c r="G7" s="17" t="s">
        <v>77</v>
      </c>
      <c r="H7" s="17" t="s">
        <v>101</v>
      </c>
      <c r="I7" s="18">
        <v>1799</v>
      </c>
      <c r="J7" s="18">
        <v>1799</v>
      </c>
      <c r="K7" s="18">
        <v>450</v>
      </c>
      <c r="L7" s="18">
        <v>472</v>
      </c>
      <c r="M7" s="18">
        <v>5</v>
      </c>
      <c r="N7" s="17" t="s">
        <v>79</v>
      </c>
      <c r="O7" s="17" t="s">
        <v>80</v>
      </c>
      <c r="P7" s="14" t="s">
        <v>81</v>
      </c>
      <c r="Q7" s="17" t="s">
        <v>102</v>
      </c>
      <c r="R7" s="17" t="s">
        <v>83</v>
      </c>
      <c r="S7" s="17" t="s">
        <v>84</v>
      </c>
      <c r="T7" s="17" t="s">
        <v>103</v>
      </c>
      <c r="U7" s="17" t="s">
        <v>104</v>
      </c>
      <c r="V7" s="17" t="s">
        <v>105</v>
      </c>
      <c r="W7" s="17" t="s">
        <v>88</v>
      </c>
      <c r="X7" s="17" t="s">
        <v>89</v>
      </c>
      <c r="Y7" s="17" t="s">
        <v>99</v>
      </c>
      <c r="Z7" s="18">
        <v>1</v>
      </c>
      <c r="AA7" s="17" t="s">
        <v>90</v>
      </c>
      <c r="AB7" t="s">
        <v>91</v>
      </c>
      <c r="AC7" s="18">
        <v>60</v>
      </c>
      <c r="AD7" s="17" t="s">
        <v>92</v>
      </c>
      <c r="AE7" s="17" t="s">
        <v>92</v>
      </c>
      <c r="AF7" s="17" t="s">
        <v>92</v>
      </c>
      <c r="AG7" s="17" t="s">
        <v>93</v>
      </c>
      <c r="AH7" s="14" t="s">
        <v>94</v>
      </c>
      <c r="AI7" s="14" t="str">
        <f>IF(AND(A7="",C7=""),"EMPTY",IF(OR(A7="",C7="",E7="",F7="",G7="",I7="",J7="",K7="",L7="",M7="",N7="",O7="",P7="",R7="",S7="",T7="",W7="",AA7="",AB7="",AC7="",AD7="",AE7="",AF7="",AG7=""),"ERROR",IF(OR(AND(A7&lt;&gt;"",COUNTIF($A$5:$A$8,A7)&gt;1),AND(B7&lt;&gt;"",COUNTIF($B$5:$B$8,B7)&gt;1)),"DUPLICATE",IF(J7&gt;I7,"ERROR","READY"))))</f>
        <v>READY</v>
      </c>
      <c r="AJ7" s="14" t="str">
        <f>IF(AND(A7="",C7=""),"",IF(AND(A7&lt;&gt;"",COUNTIF($A$5:$A$8,A7)&gt;1),"Duplicate BARCODE_NO",IF(AND(B7&lt;&gt;"",COUNTIF($B$5:$B$8,B7)&gt;1),"Duplicate SKU_PREVIEW",IF(J7&gt;I7,"SELLING_PRICE &gt; MRP",IF(OR(AB7="",AC7=""),"Missing Warehouse/Reorder",IF(OR(C7="",E7="",F7="",G7="",I7="",J7="",K7="",M7="",N7=""),"Missing Mandatory Attributes","OK"))))))</f>
        <v>OK</v>
      </c>
    </row>
    <row r="8" spans="1:36" ht="15" customHeight="1" x14ac:dyDescent="0.25">
      <c r="A8" s="17" t="s">
        <v>106</v>
      </c>
      <c r="B8" s="17" t="str">
        <f t="shared" si="0"/>
        <v>SND-12-BLACK-37-P</v>
      </c>
      <c r="C8" s="17" t="s">
        <v>99</v>
      </c>
      <c r="D8" s="17" t="s">
        <v>100</v>
      </c>
      <c r="E8" s="17" t="s">
        <v>75</v>
      </c>
      <c r="F8" s="17" t="s">
        <v>76</v>
      </c>
      <c r="G8" s="17" t="s">
        <v>96</v>
      </c>
      <c r="H8" s="17" t="s">
        <v>107</v>
      </c>
      <c r="I8" s="18">
        <v>1799</v>
      </c>
      <c r="J8" s="18">
        <v>1799</v>
      </c>
      <c r="K8" s="18">
        <v>450</v>
      </c>
      <c r="L8" s="18">
        <v>472</v>
      </c>
      <c r="M8" s="18">
        <v>5</v>
      </c>
      <c r="N8" s="17" t="s">
        <v>79</v>
      </c>
      <c r="O8" s="17" t="s">
        <v>80</v>
      </c>
      <c r="P8" s="14" t="s">
        <v>81</v>
      </c>
      <c r="Q8" s="17" t="s">
        <v>102</v>
      </c>
      <c r="R8" s="17" t="s">
        <v>83</v>
      </c>
      <c r="S8" s="17" t="s">
        <v>84</v>
      </c>
      <c r="T8" s="17" t="s">
        <v>103</v>
      </c>
      <c r="U8" s="17" t="s">
        <v>104</v>
      </c>
      <c r="V8" s="17" t="s">
        <v>105</v>
      </c>
      <c r="W8" s="17" t="s">
        <v>88</v>
      </c>
      <c r="X8" s="17" t="s">
        <v>89</v>
      </c>
      <c r="Y8" s="17" t="s">
        <v>99</v>
      </c>
      <c r="Z8" s="18">
        <v>1</v>
      </c>
      <c r="AA8" s="17" t="s">
        <v>90</v>
      </c>
      <c r="AB8" t="s">
        <v>91</v>
      </c>
      <c r="AC8" s="18">
        <v>60</v>
      </c>
      <c r="AD8" s="17" t="s">
        <v>92</v>
      </c>
      <c r="AE8" s="17" t="s">
        <v>92</v>
      </c>
      <c r="AF8" s="17" t="s">
        <v>92</v>
      </c>
      <c r="AG8" s="17" t="s">
        <v>93</v>
      </c>
      <c r="AH8" s="14" t="s">
        <v>94</v>
      </c>
      <c r="AI8" s="14" t="str">
        <f>IF(AND(A8="",C8=""),"EMPTY",IF(OR(A8="",C8="",E8="",F8="",G8="",I8="",J8="",K8="",L8="",M8="",N8="",O8="",P8="",R8="",S8="",T8="",W8="",AA8="",AB8="",AC8="",AD8="",AE8="",AF8="",AG8=""),"ERROR",IF(OR(AND(A8&lt;&gt;"",COUNTIF($A$5:$A$8,A8)&gt;1),AND(B8&lt;&gt;"",COUNTIF($B$5:$B$8,B8)&gt;1)),"DUPLICATE",IF(J8&gt;I8,"ERROR","READY"))))</f>
        <v>READY</v>
      </c>
      <c r="AJ8" s="14" t="str">
        <f>IF(AND(A8="",C8=""),"",IF(AND(A8&lt;&gt;"",COUNTIF($A$5:$A$8,A8)&gt;1),"Duplicate BARCODE_NO",IF(AND(B8&lt;&gt;"",COUNTIF($B$5:$B$8,B8)&gt;1),"Duplicate SKU_PREVIEW",IF(J8&gt;I8,"SELLING_PRICE &gt; MRP",IF(OR(AB8="",AC8=""),"Missing Warehouse/Reorder",IF(OR(C8="",E8="",F8="",G8="",I8="",J8="",K8="",M8="",N8=""),"Missing Mandatory Attributes","OK"))))))</f>
        <v>OK</v>
      </c>
    </row>
  </sheetData>
  <autoFilter ref="A4:AI8" xr:uid="{00000000-0009-0000-0000-000001000000}"/>
  <mergeCells count="2">
    <mergeCell ref="A1:AF1"/>
    <mergeCell ref="A2:AF2"/>
  </mergeCells>
  <conditionalFormatting sqref="J5:J8">
    <cfRule type="expression" dxfId="2" priority="3">
      <formula>AND(J5&lt;&gt;"",I5&lt;&gt;"",J5&gt;I5)</formula>
    </cfRule>
  </conditionalFormatting>
  <conditionalFormatting sqref="A5:A8">
    <cfRule type="expression" dxfId="1" priority="4">
      <formula>COUNTIF($A$5:$A$8,A5)&gt;1</formula>
    </cfRule>
  </conditionalFormatting>
  <conditionalFormatting sqref="B5:B8">
    <cfRule type="expression" dxfId="0" priority="5">
      <formula>COUNTIF($B$5:$B$8,B5)&gt;1</formula>
    </cfRule>
  </conditionalFormatting>
  <dataValidations count="21">
    <dataValidation type="list" errorStyle="warning" allowBlank="1" showErrorMessage="1" errorTitle="Dimension Notice" error="Value is not in standard list. SMRITI will validate or onboard this master dimension during import." sqref="C5:C8" xr:uid="{00000000-0002-0000-0100-000000000000}">
      <formula1>List_ARTICLE_STYLE_CODE</formula1>
    </dataValidation>
    <dataValidation type="list" errorStyle="warning" allowBlank="1" showErrorMessage="1" errorTitle="Dimension Notice" error="Value is not in standard list. SMRITI will validate or onboard this master dimension during import." sqref="D5:D8" xr:uid="{00000000-0002-0000-0100-000001000000}">
      <formula1>List_COLLECTION_TYPE</formula1>
    </dataValidation>
    <dataValidation type="list" errorStyle="warning" allowBlank="1" showErrorMessage="1" errorTitle="Dimension Notice" error="Value is not in standard list. SMRITI will validate or onboard this master dimension during import." sqref="E5:E8" xr:uid="{00000000-0002-0000-0100-000002000000}">
      <formula1>List_BRAND_NAME</formula1>
    </dataValidation>
    <dataValidation type="list" errorStyle="warning" allowBlank="1" showErrorMessage="1" errorTitle="Dimension Notice" error="Value is not in standard list. SMRITI will validate or onboard this master dimension during import." sqref="F5:F8" xr:uid="{00000000-0002-0000-0100-000003000000}">
      <formula1>List_COLOR</formula1>
    </dataValidation>
    <dataValidation type="list" errorStyle="warning" allowBlank="1" showErrorMessage="1" errorTitle="Dimension Notice" error="Value is not in standard list. SMRITI will validate or onboard this master dimension during import." sqref="G5:G8" xr:uid="{00000000-0002-0000-0100-000004000000}">
      <formula1>List_SIZE</formula1>
    </dataValidation>
    <dataValidation type="decimal" operator="greaterThanOrEqual" allowBlank="1" sqref="I5:M8 Z5:Z8 AC5:AC8" xr:uid="{00000000-0002-0000-0100-000005000000}">
      <formula1>0</formula1>
    </dataValidation>
    <dataValidation type="textLength" allowBlank="1" sqref="N5:N8" xr:uid="{00000000-0002-0000-0100-000006000000}">
      <formula1>4</formula1>
      <formula2>8</formula2>
    </dataValidation>
    <dataValidation type="list" errorStyle="warning" allowBlank="1" showErrorMessage="1" errorTitle="Dimension Notice" error="Value is not in standard list. SMRITI will validate or onboard this master dimension during import." sqref="O5:O8" xr:uid="{00000000-0002-0000-0100-000007000000}">
      <formula1>List_GENDER</formula1>
    </dataValidation>
    <dataValidation type="list" errorStyle="warning" allowBlank="1" showErrorMessage="1" errorTitle="Dimension Notice" error="Value is not in standard list. SMRITI will validate or onboard this master dimension during import." sqref="P5:P8" xr:uid="{00000000-0002-0000-0100-000008000000}">
      <formula1>List_PURCHASE_CLASS</formula1>
    </dataValidation>
    <dataValidation type="list" errorStyle="warning" allowBlank="1" showErrorMessage="1" errorTitle="Dimension Notice" error="Value is not in standard list. SMRITI will validate or onboard this master dimension during import." sqref="Q5:Q8" xr:uid="{00000000-0002-0000-0100-000009000000}">
      <formula1>List_VENDOR_CODE</formula1>
    </dataValidation>
    <dataValidation type="list" errorStyle="warning" allowBlank="1" showErrorMessage="1" errorTitle="Dimension Notice" error="Value is not in standard list. SMRITI will validate or onboard this master dimension during import." sqref="R5:R8" xr:uid="{00000000-0002-0000-0100-00000A000000}">
      <formula1>List_MERCHANDISE_DEPARTMENT</formula1>
    </dataValidation>
    <dataValidation type="list" errorStyle="warning" allowBlank="1" showErrorMessage="1" errorTitle="Dimension Notice" error="Value is not in standard list. SMRITI will validate or onboard this master dimension during import." sqref="S5:S8" xr:uid="{00000000-0002-0000-0100-00000B000000}">
      <formula1>List_MERCHANDISE_CATEGORY</formula1>
    </dataValidation>
    <dataValidation type="list" errorStyle="warning" allowBlank="1" showErrorMessage="1" errorTitle="Dimension Notice" error="Value is not in standard list. SMRITI will validate or onboard this master dimension during import." sqref="T5:T8" xr:uid="{00000000-0002-0000-0100-00000C000000}">
      <formula1>List_PRODUCT_TYPE</formula1>
    </dataValidation>
    <dataValidation type="list" errorStyle="warning" allowBlank="1" showErrorMessage="1" errorTitle="Dimension Notice" error="Value is not in standard list. SMRITI will validate or onboard this master dimension during import." sqref="U5:U8" xr:uid="{00000000-0002-0000-0100-00000D000000}">
      <formula1>List_DESIGN_ATTRIBUTE</formula1>
    </dataValidation>
    <dataValidation type="list" errorStyle="warning" allowBlank="1" showErrorMessage="1" errorTitle="Dimension Notice" error="Value is not in standard list. SMRITI will validate or onboard this master dimension during import." sqref="V5:V8" xr:uid="{00000000-0002-0000-0100-00000E000000}">
      <formula1>List_HEEL_TYPE</formula1>
    </dataValidation>
    <dataValidation type="list" errorStyle="warning" allowBlank="1" showErrorMessage="1" errorTitle="Dimension Notice" error="Value is not in standard list. SMRITI will validate or onboard this master dimension during import." sqref="W5:W8" xr:uid="{00000000-0002-0000-0100-00000F000000}">
      <formula1>List_UPPER_MATERIAL</formula1>
    </dataValidation>
    <dataValidation type="list" errorStyle="warning" allowBlank="1" showErrorMessage="1" errorTitle="Dimension Notice" error="Value is not in standard list. SMRITI will validate or onboard this master dimension during import." sqref="X5:X8" xr:uid="{00000000-0002-0000-0100-000010000000}">
      <formula1>List_OUTSOLE_MATERIAL</formula1>
    </dataValidation>
    <dataValidation type="list" errorStyle="warning" allowBlank="1" showErrorMessage="1" errorTitle="Dimension Notice" error="Value is not in standard list. SMRITI will validate or onboard this master dimension during import." sqref="AA5:AA8" xr:uid="{00000000-0002-0000-0100-000011000000}">
      <formula1>List_UOM</formula1>
    </dataValidation>
    <dataValidation type="list" errorStyle="warning" allowBlank="1" showErrorMessage="1" errorTitle="Dimension Notice" error="Value is not in standard list. SMRITI will validate or onboard this master dimension during import." sqref="AB5:AB8" xr:uid="{00000000-0002-0000-0100-000012000000}">
      <formula1>List_WAREHOUSE_CODE</formula1>
    </dataValidation>
    <dataValidation type="list" errorStyle="warning" allowBlank="1" showErrorMessage="1" errorTitle="Dimension Notice" error="Value is not in standard list. SMRITI will validate or onboard this master dimension during import." sqref="AD5:AG8" xr:uid="{00000000-0002-0000-0100-000013000000}">
      <formula1>List_YN</formula1>
    </dataValidation>
    <dataValidation type="list" errorStyle="warning" allowBlank="1" showErrorMessage="1" errorTitle="Dimension Notice" error="Value is not in standard list. SMRITI will validate or onboard this master dimension during import." sqref="AH5:AH8" xr:uid="{00000000-0002-0000-0100-000014000000}">
      <formula1>List_CREATION_STATUS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D16" sqref="D16"/>
    </sheetView>
  </sheetViews>
  <sheetFormatPr defaultRowHeight="15" x14ac:dyDescent="0.25"/>
  <cols>
    <col min="1" max="1" width="22.28515625" style="11" bestFit="1" customWidth="1"/>
    <col min="2" max="2" width="27.7109375" bestFit="1" customWidth="1"/>
    <col min="3" max="3" width="60.28515625" bestFit="1" customWidth="1"/>
  </cols>
  <sheetData>
    <row r="1" spans="1:4" x14ac:dyDescent="0.25">
      <c r="A1" t="s">
        <v>92</v>
      </c>
      <c r="B1" t="s">
        <v>108</v>
      </c>
    </row>
    <row r="2" spans="1:4" x14ac:dyDescent="0.25">
      <c r="A2" t="s">
        <v>93</v>
      </c>
      <c r="B2" t="s">
        <v>109</v>
      </c>
    </row>
    <row r="3" spans="1:4" x14ac:dyDescent="0.25">
      <c r="A3" s="7" t="s">
        <v>38</v>
      </c>
      <c r="B3" t="s">
        <v>110</v>
      </c>
      <c r="C3" t="s">
        <v>111</v>
      </c>
      <c r="D3" t="s">
        <v>92</v>
      </c>
    </row>
    <row r="4" spans="1:4" x14ac:dyDescent="0.25">
      <c r="A4" s="8" t="s">
        <v>40</v>
      </c>
      <c r="B4" t="s">
        <v>110</v>
      </c>
      <c r="C4" t="s">
        <v>111</v>
      </c>
      <c r="D4" t="s">
        <v>92</v>
      </c>
    </row>
    <row r="5" spans="1:4" x14ac:dyDescent="0.25">
      <c r="A5" s="8" t="s">
        <v>41</v>
      </c>
      <c r="B5" t="s">
        <v>110</v>
      </c>
      <c r="C5" t="s">
        <v>111</v>
      </c>
      <c r="D5" t="s">
        <v>92</v>
      </c>
    </row>
    <row r="6" spans="1:4" x14ac:dyDescent="0.25">
      <c r="A6" s="8" t="s">
        <v>42</v>
      </c>
      <c r="B6" t="s">
        <v>110</v>
      </c>
      <c r="C6" t="s">
        <v>111</v>
      </c>
      <c r="D6" t="s">
        <v>92</v>
      </c>
    </row>
    <row r="7" spans="1:4" x14ac:dyDescent="0.25">
      <c r="A7" s="9" t="s">
        <v>50</v>
      </c>
      <c r="B7" t="s">
        <v>110</v>
      </c>
      <c r="C7" t="s">
        <v>111</v>
      </c>
      <c r="D7" t="s">
        <v>92</v>
      </c>
    </row>
    <row r="8" spans="1:4" ht="25.5" customHeight="1" x14ac:dyDescent="0.25">
      <c r="A8" s="10" t="s">
        <v>53</v>
      </c>
      <c r="B8" t="s">
        <v>110</v>
      </c>
      <c r="C8" t="s">
        <v>111</v>
      </c>
      <c r="D8" t="s">
        <v>92</v>
      </c>
    </row>
    <row r="9" spans="1:4" ht="25.5" customHeight="1" x14ac:dyDescent="0.25">
      <c r="A9" s="9" t="s">
        <v>54</v>
      </c>
      <c r="B9" t="s">
        <v>110</v>
      </c>
      <c r="C9" t="s">
        <v>111</v>
      </c>
      <c r="D9" t="s">
        <v>92</v>
      </c>
    </row>
    <row r="10" spans="1:4" x14ac:dyDescent="0.25">
      <c r="A10" s="10" t="s">
        <v>55</v>
      </c>
      <c r="B10" t="s">
        <v>110</v>
      </c>
      <c r="C10" t="s">
        <v>111</v>
      </c>
      <c r="D10" t="s">
        <v>92</v>
      </c>
    </row>
    <row r="11" spans="1:4" x14ac:dyDescent="0.25">
      <c r="A11" s="10" t="s">
        <v>56</v>
      </c>
      <c r="B11" t="s">
        <v>110</v>
      </c>
      <c r="C11" t="s">
        <v>111</v>
      </c>
      <c r="D11" t="s">
        <v>93</v>
      </c>
    </row>
    <row r="12" spans="1:4" x14ac:dyDescent="0.25">
      <c r="A12" s="9" t="s">
        <v>57</v>
      </c>
      <c r="B12" t="s">
        <v>110</v>
      </c>
      <c r="C12" t="s">
        <v>111</v>
      </c>
      <c r="D12" t="s">
        <v>92</v>
      </c>
    </row>
    <row r="13" spans="1:4" x14ac:dyDescent="0.25">
      <c r="A13" s="9" t="s">
        <v>58</v>
      </c>
      <c r="B13" t="s">
        <v>110</v>
      </c>
      <c r="C13" t="s">
        <v>111</v>
      </c>
      <c r="D13" t="s">
        <v>92</v>
      </c>
    </row>
    <row r="14" spans="1:4" x14ac:dyDescent="0.25">
      <c r="A14" s="9" t="s">
        <v>59</v>
      </c>
      <c r="B14" t="s">
        <v>110</v>
      </c>
      <c r="C14" t="s">
        <v>111</v>
      </c>
      <c r="D14" t="s">
        <v>93</v>
      </c>
    </row>
    <row r="15" spans="1:4" x14ac:dyDescent="0.25">
      <c r="A15" s="9" t="s">
        <v>62</v>
      </c>
      <c r="B15" t="s">
        <v>110</v>
      </c>
      <c r="C15" t="s">
        <v>111</v>
      </c>
      <c r="D15" t="s">
        <v>92</v>
      </c>
    </row>
    <row r="16" spans="1:4" x14ac:dyDescent="0.25">
      <c r="A16" s="10" t="s">
        <v>49</v>
      </c>
      <c r="B16" t="s">
        <v>110</v>
      </c>
      <c r="C16" t="s">
        <v>111</v>
      </c>
      <c r="D16" t="s">
        <v>92</v>
      </c>
    </row>
    <row r="17" spans="1:4" x14ac:dyDescent="0.25">
      <c r="A17" s="10" t="s">
        <v>48</v>
      </c>
      <c r="B17" t="s">
        <v>110</v>
      </c>
      <c r="C17" t="s">
        <v>111</v>
      </c>
      <c r="D17" t="s">
        <v>92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3"/>
  <sheetViews>
    <sheetView topLeftCell="A11" zoomScaleNormal="100" workbookViewId="0">
      <selection activeCell="B14" sqref="B14"/>
    </sheetView>
  </sheetViews>
  <sheetFormatPr defaultColWidth="8.7109375" defaultRowHeight="15" x14ac:dyDescent="0.25"/>
  <cols>
    <col min="1" max="1" width="42" customWidth="1"/>
    <col min="2" max="2" width="14" customWidth="1"/>
    <col min="3" max="4" width="42" customWidth="1"/>
  </cols>
  <sheetData>
    <row r="1" spans="1:4" ht="15.75" customHeight="1" x14ac:dyDescent="0.25">
      <c r="A1" s="24" t="s">
        <v>112</v>
      </c>
      <c r="B1" s="20"/>
      <c r="C1" s="20"/>
      <c r="D1" s="20"/>
    </row>
    <row r="3" spans="1:4" ht="15" customHeight="1" x14ac:dyDescent="0.25">
      <c r="A3" s="1" t="s">
        <v>113</v>
      </c>
      <c r="B3" s="1" t="s">
        <v>114</v>
      </c>
      <c r="C3" s="1" t="s">
        <v>115</v>
      </c>
      <c r="D3" s="1" t="s">
        <v>116</v>
      </c>
    </row>
    <row r="4" spans="1:4" ht="45" customHeight="1" x14ac:dyDescent="0.25">
      <c r="A4" s="2" t="s">
        <v>117</v>
      </c>
      <c r="B4" s="2" t="s">
        <v>118</v>
      </c>
      <c r="C4" s="2" t="s">
        <v>119</v>
      </c>
      <c r="D4" s="2" t="s">
        <v>120</v>
      </c>
    </row>
    <row r="5" spans="1:4" ht="45" customHeight="1" x14ac:dyDescent="0.25">
      <c r="A5" s="2" t="s">
        <v>121</v>
      </c>
      <c r="B5" s="2" t="s">
        <v>122</v>
      </c>
      <c r="C5" s="2" t="s">
        <v>123</v>
      </c>
      <c r="D5" s="2" t="s">
        <v>124</v>
      </c>
    </row>
    <row r="6" spans="1:4" ht="45" customHeight="1" x14ac:dyDescent="0.25">
      <c r="A6" s="2" t="s">
        <v>125</v>
      </c>
      <c r="B6" s="2" t="s">
        <v>126</v>
      </c>
      <c r="C6" s="2" t="s">
        <v>127</v>
      </c>
      <c r="D6" s="2" t="s">
        <v>128</v>
      </c>
    </row>
    <row r="7" spans="1:4" ht="45" customHeight="1" x14ac:dyDescent="0.25">
      <c r="A7" s="2" t="s">
        <v>129</v>
      </c>
      <c r="B7" s="2" t="s">
        <v>130</v>
      </c>
      <c r="C7" s="2" t="s">
        <v>131</v>
      </c>
      <c r="D7" s="2" t="s">
        <v>132</v>
      </c>
    </row>
    <row r="8" spans="1:4" ht="45" customHeight="1" x14ac:dyDescent="0.25">
      <c r="A8" s="2" t="s">
        <v>133</v>
      </c>
      <c r="B8" s="2" t="s">
        <v>134</v>
      </c>
      <c r="C8" s="2" t="s">
        <v>135</v>
      </c>
      <c r="D8" s="2" t="s">
        <v>136</v>
      </c>
    </row>
    <row r="9" spans="1:4" ht="45" customHeight="1" x14ac:dyDescent="0.25">
      <c r="A9" s="2" t="s">
        <v>137</v>
      </c>
      <c r="B9" s="2" t="s">
        <v>138</v>
      </c>
      <c r="C9" s="2" t="s">
        <v>139</v>
      </c>
      <c r="D9" s="2" t="s">
        <v>140</v>
      </c>
    </row>
    <row r="10" spans="1:4" ht="45" customHeight="1" x14ac:dyDescent="0.25">
      <c r="A10" s="2" t="s">
        <v>141</v>
      </c>
      <c r="B10" s="2" t="s">
        <v>142</v>
      </c>
      <c r="C10" s="2" t="s">
        <v>143</v>
      </c>
      <c r="D10" s="2" t="s">
        <v>144</v>
      </c>
    </row>
    <row r="11" spans="1:4" ht="45" customHeight="1" x14ac:dyDescent="0.25">
      <c r="A11" s="2" t="s">
        <v>145</v>
      </c>
      <c r="B11" s="2" t="s">
        <v>146</v>
      </c>
      <c r="C11" s="2" t="s">
        <v>147</v>
      </c>
      <c r="D11" s="2" t="s">
        <v>148</v>
      </c>
    </row>
    <row r="12" spans="1:4" ht="45" customHeight="1" x14ac:dyDescent="0.25">
      <c r="A12" s="2" t="s">
        <v>149</v>
      </c>
      <c r="B12" s="2" t="s">
        <v>150</v>
      </c>
      <c r="C12" s="2" t="s">
        <v>151</v>
      </c>
      <c r="D12" s="2" t="s">
        <v>152</v>
      </c>
    </row>
    <row r="13" spans="1:4" ht="45" customHeight="1" x14ac:dyDescent="0.25">
      <c r="A13" s="2" t="s">
        <v>153</v>
      </c>
      <c r="B13" s="2" t="s">
        <v>154</v>
      </c>
      <c r="C13" s="2" t="s">
        <v>155</v>
      </c>
      <c r="D13" s="2" t="s">
        <v>156</v>
      </c>
    </row>
    <row r="14" spans="1:4" ht="45" customHeight="1" x14ac:dyDescent="0.25">
      <c r="A14" s="2" t="s">
        <v>157</v>
      </c>
      <c r="B14" s="2" t="s">
        <v>158</v>
      </c>
      <c r="C14" s="2" t="s">
        <v>159</v>
      </c>
      <c r="D14" s="2" t="s">
        <v>160</v>
      </c>
    </row>
    <row r="15" spans="1:4" x14ac:dyDescent="0.25">
      <c r="A15" t="s">
        <v>161</v>
      </c>
      <c r="B15" t="s">
        <v>146</v>
      </c>
      <c r="C15" t="s">
        <v>162</v>
      </c>
      <c r="D15" t="s">
        <v>163</v>
      </c>
    </row>
    <row r="16" spans="1:4" x14ac:dyDescent="0.25">
      <c r="A16" t="s">
        <v>164</v>
      </c>
      <c r="B16" t="s">
        <v>165</v>
      </c>
      <c r="C16" t="s">
        <v>166</v>
      </c>
      <c r="D16" t="s">
        <v>167</v>
      </c>
    </row>
    <row r="17" spans="1:4" x14ac:dyDescent="0.25">
      <c r="A17" t="s">
        <v>168</v>
      </c>
      <c r="B17" t="s">
        <v>169</v>
      </c>
      <c r="C17" t="s">
        <v>170</v>
      </c>
      <c r="D17" t="s">
        <v>171</v>
      </c>
    </row>
    <row r="18" spans="1:4" x14ac:dyDescent="0.25">
      <c r="A18" t="s">
        <v>172</v>
      </c>
      <c r="B18" t="s">
        <v>173</v>
      </c>
      <c r="C18" t="s">
        <v>174</v>
      </c>
      <c r="D18" t="s">
        <v>175</v>
      </c>
    </row>
    <row r="19" spans="1:4" x14ac:dyDescent="0.25">
      <c r="A19" t="s">
        <v>176</v>
      </c>
      <c r="B19" t="s">
        <v>177</v>
      </c>
      <c r="C19" t="s">
        <v>178</v>
      </c>
      <c r="D19" t="s">
        <v>179</v>
      </c>
    </row>
    <row r="20" spans="1:4" x14ac:dyDescent="0.25">
      <c r="A20" t="s">
        <v>180</v>
      </c>
      <c r="B20" t="s">
        <v>177</v>
      </c>
      <c r="C20" t="s">
        <v>181</v>
      </c>
      <c r="D20" t="s">
        <v>182</v>
      </c>
    </row>
    <row r="21" spans="1:4" x14ac:dyDescent="0.25">
      <c r="A21" t="s">
        <v>183</v>
      </c>
      <c r="B21" t="s">
        <v>184</v>
      </c>
      <c r="C21" t="s">
        <v>185</v>
      </c>
      <c r="D21" t="s">
        <v>186</v>
      </c>
    </row>
    <row r="22" spans="1:4" x14ac:dyDescent="0.25">
      <c r="A22" t="s">
        <v>187</v>
      </c>
      <c r="B22" t="s">
        <v>188</v>
      </c>
      <c r="C22" t="s">
        <v>189</v>
      </c>
      <c r="D22" t="s">
        <v>190</v>
      </c>
    </row>
    <row r="23" spans="1:4" x14ac:dyDescent="0.25">
      <c r="A23" t="s">
        <v>191</v>
      </c>
      <c r="B23" t="s">
        <v>192</v>
      </c>
      <c r="C23" t="s">
        <v>193</v>
      </c>
      <c r="D23" t="s">
        <v>194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3"/>
  <sheetViews>
    <sheetView zoomScaleNormal="100" workbookViewId="0">
      <pane ySplit="3" topLeftCell="A4" activePane="bottomLeft" state="frozen"/>
      <selection pane="bottomLeft" activeCell="D18" sqref="D18"/>
    </sheetView>
  </sheetViews>
  <sheetFormatPr defaultColWidth="8.7109375" defaultRowHeight="15" x14ac:dyDescent="0.25"/>
  <cols>
    <col min="1" max="1" width="71.7109375" bestFit="1" customWidth="1"/>
    <col min="2" max="2" width="12.85546875" bestFit="1" customWidth="1"/>
    <col min="3" max="3" width="26.5703125" bestFit="1" customWidth="1"/>
    <col min="4" max="4" width="10.5703125" bestFit="1" customWidth="1"/>
  </cols>
  <sheetData>
    <row r="1" spans="1:4" ht="16.5" customHeight="1" x14ac:dyDescent="0.25">
      <c r="A1" s="24" t="s">
        <v>195</v>
      </c>
      <c r="B1" s="20"/>
      <c r="C1" s="20"/>
      <c r="D1" s="20"/>
    </row>
    <row r="2" spans="1:4" x14ac:dyDescent="0.25">
      <c r="A2" s="25" t="s">
        <v>196</v>
      </c>
      <c r="B2" s="20"/>
      <c r="C2" s="20"/>
      <c r="D2" s="20"/>
    </row>
    <row r="3" spans="1:4" x14ac:dyDescent="0.25">
      <c r="A3" s="3" t="s">
        <v>197</v>
      </c>
      <c r="B3" s="3" t="s">
        <v>198</v>
      </c>
      <c r="C3" s="3" t="s">
        <v>199</v>
      </c>
      <c r="D3" s="3" t="s">
        <v>200</v>
      </c>
    </row>
    <row r="4" spans="1:4" x14ac:dyDescent="0.25">
      <c r="A4" s="4">
        <v>1</v>
      </c>
      <c r="B4" s="5" t="s">
        <v>201</v>
      </c>
      <c r="C4" s="4" t="s">
        <v>202</v>
      </c>
      <c r="D4" s="6" t="s">
        <v>203</v>
      </c>
    </row>
    <row r="5" spans="1:4" x14ac:dyDescent="0.25">
      <c r="A5" s="4">
        <v>2</v>
      </c>
      <c r="B5" s="5" t="s">
        <v>204</v>
      </c>
      <c r="C5" s="4" t="s">
        <v>205</v>
      </c>
      <c r="D5" s="6" t="s">
        <v>203</v>
      </c>
    </row>
    <row r="6" spans="1:4" x14ac:dyDescent="0.25">
      <c r="A6" s="4">
        <v>3</v>
      </c>
      <c r="B6" s="5" t="s">
        <v>206</v>
      </c>
      <c r="C6" s="4"/>
      <c r="D6" s="6" t="s">
        <v>207</v>
      </c>
    </row>
    <row r="7" spans="1:4" x14ac:dyDescent="0.25">
      <c r="A7" s="4">
        <v>4</v>
      </c>
      <c r="B7" s="5" t="s">
        <v>208</v>
      </c>
      <c r="C7" s="4"/>
      <c r="D7" s="6" t="s">
        <v>207</v>
      </c>
    </row>
    <row r="8" spans="1:4" x14ac:dyDescent="0.25">
      <c r="A8" s="4">
        <v>5</v>
      </c>
      <c r="B8" s="5" t="s">
        <v>209</v>
      </c>
      <c r="C8" s="4"/>
      <c r="D8" s="6" t="s">
        <v>207</v>
      </c>
    </row>
    <row r="9" spans="1:4" x14ac:dyDescent="0.25">
      <c r="A9" s="4">
        <v>6</v>
      </c>
      <c r="B9" s="5" t="s">
        <v>210</v>
      </c>
      <c r="C9" s="4"/>
      <c r="D9" s="6" t="s">
        <v>207</v>
      </c>
    </row>
    <row r="10" spans="1:4" x14ac:dyDescent="0.25">
      <c r="A10" s="4">
        <v>7</v>
      </c>
      <c r="B10" s="5" t="s">
        <v>211</v>
      </c>
      <c r="C10" s="4"/>
      <c r="D10" s="6" t="s">
        <v>207</v>
      </c>
    </row>
    <row r="11" spans="1:4" x14ac:dyDescent="0.25">
      <c r="A11" s="4">
        <v>8</v>
      </c>
      <c r="B11" s="5" t="s">
        <v>212</v>
      </c>
      <c r="C11" s="4"/>
      <c r="D11" s="6" t="s">
        <v>207</v>
      </c>
    </row>
    <row r="12" spans="1:4" x14ac:dyDescent="0.25">
      <c r="A12" s="4">
        <v>9</v>
      </c>
      <c r="B12" s="5" t="s">
        <v>213</v>
      </c>
      <c r="C12" s="4"/>
      <c r="D12" s="6" t="s">
        <v>207</v>
      </c>
    </row>
    <row r="13" spans="1:4" x14ac:dyDescent="0.25">
      <c r="A13" s="4">
        <v>10</v>
      </c>
      <c r="B13" s="5" t="s">
        <v>214</v>
      </c>
      <c r="C13" s="4"/>
      <c r="D13" s="6" t="s">
        <v>207</v>
      </c>
    </row>
    <row r="14" spans="1:4" x14ac:dyDescent="0.25">
      <c r="A14" s="4">
        <v>11</v>
      </c>
      <c r="B14" s="5" t="s">
        <v>215</v>
      </c>
      <c r="C14" s="4"/>
      <c r="D14" s="6" t="s">
        <v>207</v>
      </c>
    </row>
    <row r="15" spans="1:4" x14ac:dyDescent="0.25">
      <c r="A15" s="4">
        <v>12</v>
      </c>
      <c r="B15" s="5" t="s">
        <v>216</v>
      </c>
      <c r="C15" s="4"/>
      <c r="D15" s="6" t="s">
        <v>207</v>
      </c>
    </row>
    <row r="16" spans="1:4" x14ac:dyDescent="0.25">
      <c r="A16" s="4">
        <v>13</v>
      </c>
      <c r="B16" s="5" t="s">
        <v>217</v>
      </c>
      <c r="C16" s="4"/>
      <c r="D16" s="6" t="s">
        <v>207</v>
      </c>
    </row>
    <row r="17" spans="1:4" x14ac:dyDescent="0.25">
      <c r="A17" s="4">
        <v>14</v>
      </c>
      <c r="B17" s="5" t="s">
        <v>93</v>
      </c>
      <c r="C17" s="4"/>
      <c r="D17" s="6" t="s">
        <v>207</v>
      </c>
    </row>
    <row r="18" spans="1:4" x14ac:dyDescent="0.25">
      <c r="A18" s="4">
        <v>15</v>
      </c>
      <c r="B18" s="5" t="s">
        <v>82</v>
      </c>
      <c r="C18" s="4"/>
      <c r="D18" s="6" t="s">
        <v>207</v>
      </c>
    </row>
    <row r="19" spans="1:4" x14ac:dyDescent="0.25">
      <c r="A19" s="4">
        <v>16</v>
      </c>
      <c r="B19" s="5" t="s">
        <v>102</v>
      </c>
      <c r="C19" s="4"/>
      <c r="D19" s="6" t="s">
        <v>207</v>
      </c>
    </row>
    <row r="20" spans="1:4" x14ac:dyDescent="0.25">
      <c r="A20" s="4">
        <v>17</v>
      </c>
      <c r="B20" s="5" t="s">
        <v>218</v>
      </c>
      <c r="C20" s="4"/>
      <c r="D20" s="6" t="s">
        <v>207</v>
      </c>
    </row>
    <row r="21" spans="1:4" x14ac:dyDescent="0.25">
      <c r="A21" s="4">
        <v>18</v>
      </c>
      <c r="B21" s="5" t="s">
        <v>219</v>
      </c>
      <c r="C21" s="4"/>
      <c r="D21" s="6" t="s">
        <v>207</v>
      </c>
    </row>
    <row r="22" spans="1:4" x14ac:dyDescent="0.25">
      <c r="A22" s="4">
        <v>19</v>
      </c>
      <c r="B22" s="5" t="s">
        <v>220</v>
      </c>
      <c r="C22" s="4"/>
      <c r="D22" s="6" t="s">
        <v>207</v>
      </c>
    </row>
    <row r="23" spans="1:4" x14ac:dyDescent="0.25">
      <c r="A23" s="4">
        <v>20</v>
      </c>
      <c r="B23" s="5" t="s">
        <v>221</v>
      </c>
      <c r="C23" s="4"/>
      <c r="D23" s="6" t="s">
        <v>207</v>
      </c>
    </row>
    <row r="24" spans="1:4" x14ac:dyDescent="0.25">
      <c r="A24" s="4">
        <v>21</v>
      </c>
      <c r="B24" s="5" t="s">
        <v>222</v>
      </c>
      <c r="C24" s="4"/>
      <c r="D24" s="6" t="s">
        <v>207</v>
      </c>
    </row>
    <row r="25" spans="1:4" x14ac:dyDescent="0.25">
      <c r="A25" s="4">
        <v>22</v>
      </c>
      <c r="B25" s="5" t="s">
        <v>223</v>
      </c>
      <c r="C25" s="4"/>
      <c r="D25" s="6" t="s">
        <v>207</v>
      </c>
    </row>
    <row r="26" spans="1:4" x14ac:dyDescent="0.25">
      <c r="A26" s="4">
        <v>23</v>
      </c>
      <c r="B26" s="5" t="s">
        <v>224</v>
      </c>
      <c r="C26" s="4"/>
      <c r="D26" s="6" t="s">
        <v>207</v>
      </c>
    </row>
    <row r="27" spans="1:4" x14ac:dyDescent="0.25">
      <c r="A27" s="4">
        <v>24</v>
      </c>
      <c r="B27" s="5" t="s">
        <v>225</v>
      </c>
      <c r="C27" s="4"/>
      <c r="D27" s="6" t="s">
        <v>207</v>
      </c>
    </row>
    <row r="28" spans="1:4" x14ac:dyDescent="0.25">
      <c r="A28" s="4">
        <v>25</v>
      </c>
      <c r="B28" s="5" t="s">
        <v>92</v>
      </c>
      <c r="C28" s="4"/>
      <c r="D28" s="6" t="s">
        <v>207</v>
      </c>
    </row>
    <row r="29" spans="1:4" x14ac:dyDescent="0.25">
      <c r="A29" s="4">
        <v>26</v>
      </c>
      <c r="B29" s="5" t="s">
        <v>226</v>
      </c>
      <c r="C29" s="4"/>
      <c r="D29" s="6" t="s">
        <v>207</v>
      </c>
    </row>
    <row r="30" spans="1:4" x14ac:dyDescent="0.25">
      <c r="A30" s="4">
        <v>27</v>
      </c>
      <c r="B30" s="5" t="s">
        <v>227</v>
      </c>
      <c r="C30" s="4"/>
      <c r="D30" s="6" t="s">
        <v>207</v>
      </c>
    </row>
    <row r="31" spans="1:4" x14ac:dyDescent="0.25">
      <c r="A31" s="4">
        <v>28</v>
      </c>
      <c r="B31" s="5" t="s">
        <v>228</v>
      </c>
      <c r="C31" s="4"/>
      <c r="D31" s="6" t="s">
        <v>207</v>
      </c>
    </row>
    <row r="32" spans="1:4" x14ac:dyDescent="0.25">
      <c r="A32" s="4">
        <v>29</v>
      </c>
      <c r="B32" s="5" t="s">
        <v>229</v>
      </c>
      <c r="C32" s="4"/>
      <c r="D32" s="6" t="s">
        <v>207</v>
      </c>
    </row>
    <row r="33" spans="1:4" x14ac:dyDescent="0.25">
      <c r="A33" s="4">
        <v>30</v>
      </c>
      <c r="B33" s="5" t="s">
        <v>230</v>
      </c>
      <c r="C33" s="4"/>
      <c r="D33" s="6" t="s">
        <v>207</v>
      </c>
    </row>
    <row r="34" spans="1:4" x14ac:dyDescent="0.25">
      <c r="A34" s="4">
        <v>31</v>
      </c>
      <c r="B34" s="5" t="s">
        <v>231</v>
      </c>
      <c r="C34" s="4"/>
      <c r="D34" s="6" t="s">
        <v>207</v>
      </c>
    </row>
    <row r="35" spans="1:4" x14ac:dyDescent="0.25">
      <c r="A35" s="4">
        <v>32</v>
      </c>
      <c r="B35" s="5" t="s">
        <v>232</v>
      </c>
      <c r="C35" s="4"/>
      <c r="D35" s="6" t="s">
        <v>207</v>
      </c>
    </row>
    <row r="36" spans="1:4" x14ac:dyDescent="0.25">
      <c r="A36" s="4">
        <v>33</v>
      </c>
      <c r="B36" s="5" t="s">
        <v>233</v>
      </c>
      <c r="C36" s="4"/>
      <c r="D36" s="6" t="s">
        <v>207</v>
      </c>
    </row>
    <row r="37" spans="1:4" x14ac:dyDescent="0.25">
      <c r="A37" s="4">
        <v>34</v>
      </c>
      <c r="B37" s="5" t="s">
        <v>234</v>
      </c>
      <c r="C37" s="4"/>
      <c r="D37" s="6" t="s">
        <v>207</v>
      </c>
    </row>
    <row r="38" spans="1:4" x14ac:dyDescent="0.25">
      <c r="A38" s="4">
        <v>35</v>
      </c>
      <c r="B38" s="5" t="s">
        <v>235</v>
      </c>
      <c r="C38" s="4"/>
      <c r="D38" s="6" t="s">
        <v>207</v>
      </c>
    </row>
    <row r="39" spans="1:4" x14ac:dyDescent="0.25">
      <c r="A39" s="4">
        <v>36</v>
      </c>
      <c r="B39" s="5" t="s">
        <v>236</v>
      </c>
      <c r="C39" s="4"/>
      <c r="D39" s="6" t="s">
        <v>207</v>
      </c>
    </row>
    <row r="40" spans="1:4" x14ac:dyDescent="0.25">
      <c r="A40" s="4">
        <v>37</v>
      </c>
      <c r="B40" s="5" t="s">
        <v>237</v>
      </c>
      <c r="C40" s="4"/>
      <c r="D40" s="6" t="s">
        <v>207</v>
      </c>
    </row>
    <row r="41" spans="1:4" x14ac:dyDescent="0.25">
      <c r="A41" s="4">
        <v>38</v>
      </c>
      <c r="B41" s="5" t="s">
        <v>238</v>
      </c>
      <c r="C41" s="4"/>
      <c r="D41" s="6" t="s">
        <v>207</v>
      </c>
    </row>
    <row r="42" spans="1:4" x14ac:dyDescent="0.25">
      <c r="A42" s="4">
        <v>39</v>
      </c>
      <c r="B42" s="5" t="s">
        <v>239</v>
      </c>
      <c r="C42" s="4"/>
      <c r="D42" s="6" t="s">
        <v>207</v>
      </c>
    </row>
    <row r="43" spans="1:4" x14ac:dyDescent="0.25">
      <c r="A43" s="4">
        <v>40</v>
      </c>
      <c r="B43" s="5" t="s">
        <v>240</v>
      </c>
      <c r="C43" s="4"/>
      <c r="D43" s="6" t="s">
        <v>207</v>
      </c>
    </row>
    <row r="44" spans="1:4" x14ac:dyDescent="0.25">
      <c r="A44" s="4">
        <v>41</v>
      </c>
      <c r="B44" s="5" t="s">
        <v>241</v>
      </c>
      <c r="C44" s="4"/>
      <c r="D44" s="6" t="s">
        <v>207</v>
      </c>
    </row>
    <row r="45" spans="1:4" x14ac:dyDescent="0.25">
      <c r="A45" s="4">
        <v>42</v>
      </c>
      <c r="B45" s="5" t="s">
        <v>242</v>
      </c>
      <c r="C45" s="4"/>
      <c r="D45" s="6" t="s">
        <v>207</v>
      </c>
    </row>
    <row r="46" spans="1:4" x14ac:dyDescent="0.25">
      <c r="A46" s="4">
        <v>43</v>
      </c>
      <c r="B46" s="5" t="s">
        <v>243</v>
      </c>
      <c r="C46" s="4"/>
      <c r="D46" s="6" t="s">
        <v>207</v>
      </c>
    </row>
    <row r="47" spans="1:4" x14ac:dyDescent="0.25">
      <c r="A47" s="4">
        <v>44</v>
      </c>
      <c r="B47" s="5" t="s">
        <v>244</v>
      </c>
      <c r="C47" s="4"/>
      <c r="D47" s="6" t="s">
        <v>207</v>
      </c>
    </row>
    <row r="48" spans="1:4" x14ac:dyDescent="0.25">
      <c r="A48" s="4">
        <v>45</v>
      </c>
      <c r="B48" s="5" t="s">
        <v>245</v>
      </c>
      <c r="C48" s="4"/>
      <c r="D48" s="6" t="s">
        <v>207</v>
      </c>
    </row>
    <row r="49" spans="1:4" x14ac:dyDescent="0.25">
      <c r="A49" s="4">
        <v>46</v>
      </c>
      <c r="B49" s="5" t="s">
        <v>246</v>
      </c>
      <c r="C49" s="4"/>
      <c r="D49" s="6" t="s">
        <v>207</v>
      </c>
    </row>
    <row r="50" spans="1:4" x14ac:dyDescent="0.25">
      <c r="A50" s="4">
        <v>47</v>
      </c>
      <c r="B50" s="5" t="s">
        <v>247</v>
      </c>
      <c r="C50" s="4"/>
      <c r="D50" s="6" t="s">
        <v>207</v>
      </c>
    </row>
    <row r="51" spans="1:4" x14ac:dyDescent="0.25">
      <c r="A51" s="4">
        <v>48</v>
      </c>
      <c r="B51" s="5" t="s">
        <v>248</v>
      </c>
      <c r="C51" s="4"/>
      <c r="D51" s="6" t="s">
        <v>207</v>
      </c>
    </row>
    <row r="52" spans="1:4" x14ac:dyDescent="0.25">
      <c r="A52" s="4">
        <v>49</v>
      </c>
      <c r="B52" s="5" t="s">
        <v>249</v>
      </c>
      <c r="C52" s="4"/>
      <c r="D52" s="6" t="s">
        <v>207</v>
      </c>
    </row>
    <row r="53" spans="1:4" x14ac:dyDescent="0.25">
      <c r="A53" s="4">
        <v>50</v>
      </c>
      <c r="B53" s="5" t="s">
        <v>250</v>
      </c>
      <c r="C53" s="4"/>
      <c r="D53" s="6" t="s">
        <v>207</v>
      </c>
    </row>
    <row r="54" spans="1:4" x14ac:dyDescent="0.25">
      <c r="A54" s="4">
        <v>51</v>
      </c>
      <c r="B54" s="5" t="s">
        <v>251</v>
      </c>
      <c r="C54" s="4"/>
      <c r="D54" s="6" t="s">
        <v>207</v>
      </c>
    </row>
    <row r="55" spans="1:4" x14ac:dyDescent="0.25">
      <c r="A55" s="4">
        <v>52</v>
      </c>
      <c r="B55" s="5" t="s">
        <v>252</v>
      </c>
      <c r="C55" s="4"/>
      <c r="D55" s="6" t="s">
        <v>207</v>
      </c>
    </row>
    <row r="56" spans="1:4" x14ac:dyDescent="0.25">
      <c r="A56" s="4">
        <v>53</v>
      </c>
      <c r="B56" s="5" t="s">
        <v>253</v>
      </c>
      <c r="C56" s="4"/>
      <c r="D56" s="6" t="s">
        <v>207</v>
      </c>
    </row>
    <row r="57" spans="1:4" x14ac:dyDescent="0.25">
      <c r="A57" s="4">
        <v>54</v>
      </c>
      <c r="B57" s="5" t="s">
        <v>254</v>
      </c>
      <c r="C57" s="4"/>
      <c r="D57" s="6" t="s">
        <v>207</v>
      </c>
    </row>
    <row r="58" spans="1:4" x14ac:dyDescent="0.25">
      <c r="A58" s="4">
        <v>55</v>
      </c>
      <c r="B58" s="5" t="s">
        <v>255</v>
      </c>
      <c r="C58" s="4"/>
      <c r="D58" s="6" t="s">
        <v>207</v>
      </c>
    </row>
    <row r="59" spans="1:4" x14ac:dyDescent="0.25">
      <c r="A59" s="4">
        <v>56</v>
      </c>
      <c r="B59" s="5" t="s">
        <v>256</v>
      </c>
      <c r="C59" s="4"/>
      <c r="D59" s="6" t="s">
        <v>207</v>
      </c>
    </row>
    <row r="60" spans="1:4" x14ac:dyDescent="0.25">
      <c r="A60" s="4">
        <v>57</v>
      </c>
      <c r="B60" s="5" t="s">
        <v>257</v>
      </c>
      <c r="C60" s="4"/>
      <c r="D60" s="6" t="s">
        <v>207</v>
      </c>
    </row>
    <row r="61" spans="1:4" x14ac:dyDescent="0.25">
      <c r="A61" s="4">
        <v>58</v>
      </c>
      <c r="B61" s="5" t="s">
        <v>258</v>
      </c>
      <c r="C61" s="4"/>
      <c r="D61" s="6" t="s">
        <v>207</v>
      </c>
    </row>
    <row r="62" spans="1:4" x14ac:dyDescent="0.25">
      <c r="A62" s="4">
        <v>59</v>
      </c>
      <c r="B62" s="5" t="s">
        <v>259</v>
      </c>
      <c r="C62" s="4"/>
      <c r="D62" s="6" t="s">
        <v>207</v>
      </c>
    </row>
    <row r="63" spans="1:4" x14ac:dyDescent="0.25">
      <c r="A63" s="4">
        <v>60</v>
      </c>
      <c r="B63" s="5" t="s">
        <v>260</v>
      </c>
      <c r="C63" s="4"/>
      <c r="D63" s="6" t="s">
        <v>207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61"/>
  <sheetViews>
    <sheetView workbookViewId="0"/>
  </sheetViews>
  <sheetFormatPr defaultRowHeight="15" x14ac:dyDescent="0.25"/>
  <sheetData>
    <row r="1" spans="1:19" x14ac:dyDescent="0.25">
      <c r="A1" t="s">
        <v>38</v>
      </c>
      <c r="B1" t="s">
        <v>40</v>
      </c>
      <c r="C1" t="s">
        <v>41</v>
      </c>
      <c r="D1" t="s">
        <v>42</v>
      </c>
      <c r="E1" t="s">
        <v>50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51</v>
      </c>
      <c r="N1" t="s">
        <v>52</v>
      </c>
      <c r="O1" t="s">
        <v>62</v>
      </c>
      <c r="P1" t="s">
        <v>39</v>
      </c>
      <c r="Q1" t="s">
        <v>261</v>
      </c>
      <c r="R1" t="s">
        <v>69</v>
      </c>
      <c r="S1" t="s">
        <v>63</v>
      </c>
    </row>
    <row r="2" spans="1:19" x14ac:dyDescent="0.25">
      <c r="A2" t="s">
        <v>73</v>
      </c>
      <c r="B2" t="s">
        <v>75</v>
      </c>
      <c r="C2" t="s">
        <v>76</v>
      </c>
      <c r="D2" t="s">
        <v>262</v>
      </c>
      <c r="E2" t="s">
        <v>80</v>
      </c>
      <c r="F2" t="s">
        <v>83</v>
      </c>
      <c r="G2" t="s">
        <v>263</v>
      </c>
      <c r="H2" t="s">
        <v>85</v>
      </c>
      <c r="I2" t="s">
        <v>86</v>
      </c>
      <c r="J2" t="s">
        <v>264</v>
      </c>
      <c r="K2" t="s">
        <v>88</v>
      </c>
      <c r="L2" t="s">
        <v>89</v>
      </c>
      <c r="M2" t="s">
        <v>81</v>
      </c>
      <c r="N2" t="s">
        <v>82</v>
      </c>
      <c r="O2" t="s">
        <v>90</v>
      </c>
      <c r="P2" t="s">
        <v>74</v>
      </c>
      <c r="Q2" t="s">
        <v>92</v>
      </c>
      <c r="R2" t="s">
        <v>94</v>
      </c>
      <c r="S2" t="s">
        <v>91</v>
      </c>
    </row>
    <row r="3" spans="1:19" x14ac:dyDescent="0.25">
      <c r="A3" t="s">
        <v>99</v>
      </c>
      <c r="B3" t="s">
        <v>265</v>
      </c>
      <c r="C3" t="s">
        <v>266</v>
      </c>
      <c r="D3" t="s">
        <v>77</v>
      </c>
      <c r="E3" t="s">
        <v>267</v>
      </c>
      <c r="F3" t="s">
        <v>268</v>
      </c>
      <c r="G3" t="s">
        <v>269</v>
      </c>
      <c r="H3" t="s">
        <v>103</v>
      </c>
      <c r="I3" t="s">
        <v>104</v>
      </c>
      <c r="J3" t="s">
        <v>87</v>
      </c>
      <c r="K3" t="s">
        <v>270</v>
      </c>
      <c r="L3" t="s">
        <v>271</v>
      </c>
      <c r="M3" t="s">
        <v>272</v>
      </c>
      <c r="N3" t="s">
        <v>102</v>
      </c>
      <c r="O3" t="s">
        <v>273</v>
      </c>
      <c r="P3" t="s">
        <v>100</v>
      </c>
      <c r="Q3" t="s">
        <v>93</v>
      </c>
      <c r="R3" t="s">
        <v>274</v>
      </c>
      <c r="S3" t="s">
        <v>275</v>
      </c>
    </row>
    <row r="4" spans="1:19" x14ac:dyDescent="0.25">
      <c r="A4" t="s">
        <v>276</v>
      </c>
      <c r="B4" t="s">
        <v>277</v>
      </c>
      <c r="C4" t="s">
        <v>278</v>
      </c>
      <c r="D4" t="s">
        <v>96</v>
      </c>
      <c r="E4" t="s">
        <v>279</v>
      </c>
      <c r="F4" t="s">
        <v>280</v>
      </c>
      <c r="G4" t="s">
        <v>281</v>
      </c>
      <c r="H4" t="s">
        <v>282</v>
      </c>
      <c r="I4" t="s">
        <v>283</v>
      </c>
      <c r="J4" t="s">
        <v>105</v>
      </c>
      <c r="K4" t="s">
        <v>284</v>
      </c>
      <c r="L4" t="s">
        <v>285</v>
      </c>
      <c r="M4" t="s">
        <v>286</v>
      </c>
      <c r="N4" t="s">
        <v>201</v>
      </c>
      <c r="O4" t="s">
        <v>287</v>
      </c>
      <c r="P4" t="s">
        <v>288</v>
      </c>
      <c r="R4" t="s">
        <v>289</v>
      </c>
      <c r="S4" t="s">
        <v>290</v>
      </c>
    </row>
    <row r="5" spans="1:19" x14ac:dyDescent="0.25">
      <c r="A5" t="s">
        <v>291</v>
      </c>
      <c r="B5" t="s">
        <v>292</v>
      </c>
      <c r="C5" t="s">
        <v>293</v>
      </c>
      <c r="D5" t="s">
        <v>294</v>
      </c>
      <c r="E5" t="s">
        <v>295</v>
      </c>
      <c r="F5" t="s">
        <v>296</v>
      </c>
      <c r="G5" t="s">
        <v>297</v>
      </c>
      <c r="H5" t="s">
        <v>298</v>
      </c>
      <c r="I5" t="s">
        <v>299</v>
      </c>
      <c r="J5" t="s">
        <v>300</v>
      </c>
      <c r="K5" t="s">
        <v>301</v>
      </c>
      <c r="L5" t="s">
        <v>302</v>
      </c>
      <c r="M5" t="s">
        <v>303</v>
      </c>
      <c r="N5" t="s">
        <v>204</v>
      </c>
      <c r="O5" t="s">
        <v>304</v>
      </c>
      <c r="P5" t="s">
        <v>305</v>
      </c>
      <c r="R5" t="s">
        <v>306</v>
      </c>
      <c r="S5" t="s">
        <v>307</v>
      </c>
    </row>
    <row r="6" spans="1:19" x14ac:dyDescent="0.25">
      <c r="A6" t="s">
        <v>308</v>
      </c>
      <c r="B6" t="s">
        <v>309</v>
      </c>
      <c r="C6" t="s">
        <v>310</v>
      </c>
      <c r="D6" t="s">
        <v>311</v>
      </c>
      <c r="F6" t="s">
        <v>312</v>
      </c>
      <c r="G6" t="s">
        <v>313</v>
      </c>
      <c r="H6" t="s">
        <v>314</v>
      </c>
      <c r="I6" t="s">
        <v>315</v>
      </c>
      <c r="J6" t="s">
        <v>316</v>
      </c>
      <c r="K6" t="s">
        <v>317</v>
      </c>
      <c r="L6" t="s">
        <v>318</v>
      </c>
      <c r="N6" t="s">
        <v>206</v>
      </c>
      <c r="O6" t="s">
        <v>319</v>
      </c>
      <c r="P6" t="s">
        <v>320</v>
      </c>
      <c r="S6" t="s">
        <v>321</v>
      </c>
    </row>
    <row r="7" spans="1:19" x14ac:dyDescent="0.25">
      <c r="A7" t="s">
        <v>322</v>
      </c>
      <c r="B7" t="s">
        <v>323</v>
      </c>
      <c r="C7" t="s">
        <v>324</v>
      </c>
      <c r="D7" t="s">
        <v>325</v>
      </c>
      <c r="F7" t="s">
        <v>326</v>
      </c>
      <c r="G7" t="s">
        <v>327</v>
      </c>
      <c r="H7" t="s">
        <v>328</v>
      </c>
      <c r="I7" t="s">
        <v>329</v>
      </c>
      <c r="J7" t="s">
        <v>330</v>
      </c>
      <c r="K7" t="s">
        <v>302</v>
      </c>
      <c r="L7" t="s">
        <v>331</v>
      </c>
      <c r="N7" t="s">
        <v>208</v>
      </c>
      <c r="P7" t="s">
        <v>332</v>
      </c>
      <c r="S7" t="s">
        <v>333</v>
      </c>
    </row>
    <row r="8" spans="1:19" x14ac:dyDescent="0.25">
      <c r="A8" t="s">
        <v>334</v>
      </c>
      <c r="B8" t="s">
        <v>335</v>
      </c>
      <c r="C8" t="s">
        <v>336</v>
      </c>
      <c r="D8" t="s">
        <v>337</v>
      </c>
      <c r="H8" t="s">
        <v>264</v>
      </c>
      <c r="I8" t="s">
        <v>338</v>
      </c>
      <c r="J8" t="s">
        <v>339</v>
      </c>
      <c r="K8" t="s">
        <v>318</v>
      </c>
      <c r="L8" t="s">
        <v>340</v>
      </c>
      <c r="N8" t="s">
        <v>209</v>
      </c>
      <c r="P8" t="s">
        <v>341</v>
      </c>
    </row>
    <row r="9" spans="1:19" x14ac:dyDescent="0.25">
      <c r="A9" t="s">
        <v>342</v>
      </c>
      <c r="C9" t="s">
        <v>343</v>
      </c>
      <c r="D9" t="s">
        <v>344</v>
      </c>
      <c r="H9" t="s">
        <v>345</v>
      </c>
      <c r="I9" t="s">
        <v>346</v>
      </c>
      <c r="J9" t="s">
        <v>347</v>
      </c>
      <c r="K9" t="s">
        <v>348</v>
      </c>
      <c r="L9" t="s">
        <v>270</v>
      </c>
      <c r="N9" t="s">
        <v>210</v>
      </c>
      <c r="P9" t="s">
        <v>349</v>
      </c>
    </row>
    <row r="10" spans="1:19" x14ac:dyDescent="0.25">
      <c r="A10" t="s">
        <v>350</v>
      </c>
      <c r="C10" t="s">
        <v>351</v>
      </c>
      <c r="D10" t="s">
        <v>352</v>
      </c>
      <c r="H10" t="s">
        <v>353</v>
      </c>
      <c r="I10" t="s">
        <v>354</v>
      </c>
      <c r="J10" t="s">
        <v>355</v>
      </c>
      <c r="K10" t="s">
        <v>356</v>
      </c>
      <c r="L10" t="s">
        <v>357</v>
      </c>
      <c r="N10" t="s">
        <v>211</v>
      </c>
    </row>
    <row r="11" spans="1:19" x14ac:dyDescent="0.25">
      <c r="C11" t="s">
        <v>358</v>
      </c>
      <c r="D11" t="s">
        <v>359</v>
      </c>
      <c r="H11" t="s">
        <v>360</v>
      </c>
      <c r="I11" t="s">
        <v>361</v>
      </c>
      <c r="K11" t="s">
        <v>362</v>
      </c>
      <c r="N11" t="s">
        <v>212</v>
      </c>
    </row>
    <row r="12" spans="1:19" x14ac:dyDescent="0.25">
      <c r="C12" t="s">
        <v>363</v>
      </c>
      <c r="D12" t="s">
        <v>364</v>
      </c>
      <c r="H12" t="s">
        <v>365</v>
      </c>
      <c r="I12" t="s">
        <v>366</v>
      </c>
      <c r="K12" t="s">
        <v>367</v>
      </c>
      <c r="N12" t="s">
        <v>213</v>
      </c>
    </row>
    <row r="13" spans="1:19" x14ac:dyDescent="0.25">
      <c r="C13" t="s">
        <v>368</v>
      </c>
      <c r="D13" t="s">
        <v>369</v>
      </c>
      <c r="H13" t="s">
        <v>370</v>
      </c>
      <c r="N13" t="s">
        <v>214</v>
      </c>
    </row>
    <row r="14" spans="1:19" x14ac:dyDescent="0.25">
      <c r="C14" t="s">
        <v>371</v>
      </c>
      <c r="D14" t="s">
        <v>372</v>
      </c>
      <c r="N14" t="s">
        <v>215</v>
      </c>
    </row>
    <row r="15" spans="1:19" x14ac:dyDescent="0.25">
      <c r="C15" t="s">
        <v>373</v>
      </c>
      <c r="D15" t="s">
        <v>374</v>
      </c>
      <c r="N15" t="s">
        <v>216</v>
      </c>
    </row>
    <row r="16" spans="1:19" x14ac:dyDescent="0.25">
      <c r="C16" t="s">
        <v>375</v>
      </c>
      <c r="D16" t="s">
        <v>376</v>
      </c>
      <c r="N16" t="s">
        <v>217</v>
      </c>
    </row>
    <row r="17" spans="3:14" x14ac:dyDescent="0.25">
      <c r="C17" t="s">
        <v>377</v>
      </c>
      <c r="D17" t="s">
        <v>378</v>
      </c>
      <c r="N17" t="s">
        <v>93</v>
      </c>
    </row>
    <row r="18" spans="3:14" x14ac:dyDescent="0.25">
      <c r="C18" t="s">
        <v>379</v>
      </c>
      <c r="D18" t="s">
        <v>380</v>
      </c>
      <c r="N18" t="s">
        <v>82</v>
      </c>
    </row>
    <row r="19" spans="3:14" x14ac:dyDescent="0.25">
      <c r="D19" t="s">
        <v>381</v>
      </c>
      <c r="N19" t="s">
        <v>102</v>
      </c>
    </row>
    <row r="20" spans="3:14" x14ac:dyDescent="0.25">
      <c r="D20" t="s">
        <v>382</v>
      </c>
      <c r="N20" t="s">
        <v>218</v>
      </c>
    </row>
    <row r="21" spans="3:14" x14ac:dyDescent="0.25">
      <c r="D21" t="s">
        <v>220</v>
      </c>
      <c r="N21" t="s">
        <v>219</v>
      </c>
    </row>
    <row r="22" spans="3:14" x14ac:dyDescent="0.25">
      <c r="D22" t="s">
        <v>217</v>
      </c>
      <c r="N22" t="s">
        <v>220</v>
      </c>
    </row>
    <row r="23" spans="3:14" x14ac:dyDescent="0.25">
      <c r="D23" t="s">
        <v>216</v>
      </c>
      <c r="N23" t="s">
        <v>221</v>
      </c>
    </row>
    <row r="24" spans="3:14" x14ac:dyDescent="0.25">
      <c r="D24" t="s">
        <v>383</v>
      </c>
      <c r="N24" t="s">
        <v>222</v>
      </c>
    </row>
    <row r="25" spans="3:14" x14ac:dyDescent="0.25">
      <c r="D25" t="s">
        <v>384</v>
      </c>
      <c r="N25" t="s">
        <v>223</v>
      </c>
    </row>
    <row r="26" spans="3:14" x14ac:dyDescent="0.25">
      <c r="D26" t="s">
        <v>385</v>
      </c>
      <c r="N26" t="s">
        <v>224</v>
      </c>
    </row>
    <row r="27" spans="3:14" x14ac:dyDescent="0.25">
      <c r="N27" t="s">
        <v>225</v>
      </c>
    </row>
    <row r="28" spans="3:14" x14ac:dyDescent="0.25">
      <c r="N28" t="s">
        <v>92</v>
      </c>
    </row>
    <row r="29" spans="3:14" x14ac:dyDescent="0.25">
      <c r="N29" t="s">
        <v>226</v>
      </c>
    </row>
    <row r="30" spans="3:14" x14ac:dyDescent="0.25">
      <c r="N30" t="s">
        <v>227</v>
      </c>
    </row>
    <row r="31" spans="3:14" x14ac:dyDescent="0.25">
      <c r="N31" t="s">
        <v>228</v>
      </c>
    </row>
    <row r="32" spans="3:14" x14ac:dyDescent="0.25">
      <c r="N32" t="s">
        <v>229</v>
      </c>
    </row>
    <row r="33" spans="14:14" x14ac:dyDescent="0.25">
      <c r="N33" t="s">
        <v>230</v>
      </c>
    </row>
    <row r="34" spans="14:14" x14ac:dyDescent="0.25">
      <c r="N34" t="s">
        <v>231</v>
      </c>
    </row>
    <row r="35" spans="14:14" x14ac:dyDescent="0.25">
      <c r="N35" t="s">
        <v>232</v>
      </c>
    </row>
    <row r="36" spans="14:14" x14ac:dyDescent="0.25">
      <c r="N36" t="s">
        <v>233</v>
      </c>
    </row>
    <row r="37" spans="14:14" x14ac:dyDescent="0.25">
      <c r="N37" t="s">
        <v>234</v>
      </c>
    </row>
    <row r="38" spans="14:14" x14ac:dyDescent="0.25">
      <c r="N38" t="s">
        <v>235</v>
      </c>
    </row>
    <row r="39" spans="14:14" x14ac:dyDescent="0.25">
      <c r="N39" t="s">
        <v>236</v>
      </c>
    </row>
    <row r="40" spans="14:14" x14ac:dyDescent="0.25">
      <c r="N40" t="s">
        <v>237</v>
      </c>
    </row>
    <row r="41" spans="14:14" x14ac:dyDescent="0.25">
      <c r="N41" t="s">
        <v>238</v>
      </c>
    </row>
    <row r="42" spans="14:14" x14ac:dyDescent="0.25">
      <c r="N42" t="s">
        <v>239</v>
      </c>
    </row>
    <row r="43" spans="14:14" x14ac:dyDescent="0.25">
      <c r="N43" t="s">
        <v>240</v>
      </c>
    </row>
    <row r="44" spans="14:14" x14ac:dyDescent="0.25">
      <c r="N44" t="s">
        <v>241</v>
      </c>
    </row>
    <row r="45" spans="14:14" x14ac:dyDescent="0.25">
      <c r="N45" t="s">
        <v>242</v>
      </c>
    </row>
    <row r="46" spans="14:14" x14ac:dyDescent="0.25">
      <c r="N46" t="s">
        <v>243</v>
      </c>
    </row>
    <row r="47" spans="14:14" x14ac:dyDescent="0.25">
      <c r="N47" t="s">
        <v>244</v>
      </c>
    </row>
    <row r="48" spans="14:14" x14ac:dyDescent="0.25">
      <c r="N48" t="s">
        <v>245</v>
      </c>
    </row>
    <row r="49" spans="14:14" x14ac:dyDescent="0.25">
      <c r="N49" t="s">
        <v>246</v>
      </c>
    </row>
    <row r="50" spans="14:14" x14ac:dyDescent="0.25">
      <c r="N50" t="s">
        <v>247</v>
      </c>
    </row>
    <row r="51" spans="14:14" x14ac:dyDescent="0.25">
      <c r="N51" t="s">
        <v>248</v>
      </c>
    </row>
    <row r="52" spans="14:14" x14ac:dyDescent="0.25">
      <c r="N52" t="s">
        <v>249</v>
      </c>
    </row>
    <row r="53" spans="14:14" x14ac:dyDescent="0.25">
      <c r="N53" t="s">
        <v>250</v>
      </c>
    </row>
    <row r="54" spans="14:14" x14ac:dyDescent="0.25">
      <c r="N54" t="s">
        <v>251</v>
      </c>
    </row>
    <row r="55" spans="14:14" x14ac:dyDescent="0.25">
      <c r="N55" t="s">
        <v>252</v>
      </c>
    </row>
    <row r="56" spans="14:14" x14ac:dyDescent="0.25">
      <c r="N56" t="s">
        <v>255</v>
      </c>
    </row>
    <row r="57" spans="14:14" x14ac:dyDescent="0.25">
      <c r="N57" t="s">
        <v>256</v>
      </c>
    </row>
    <row r="58" spans="14:14" x14ac:dyDescent="0.25">
      <c r="N58" t="s">
        <v>257</v>
      </c>
    </row>
    <row r="59" spans="14:14" x14ac:dyDescent="0.25">
      <c r="N59" t="s">
        <v>258</v>
      </c>
    </row>
    <row r="60" spans="14:14" x14ac:dyDescent="0.25">
      <c r="N60" t="s">
        <v>259</v>
      </c>
    </row>
    <row r="61" spans="14:14" x14ac:dyDescent="0.25">
      <c r="N61" t="s">
        <v>260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85" customWidth="1"/>
    <col min="3" max="4" width="22" customWidth="1"/>
  </cols>
  <sheetData>
    <row r="1" spans="1:4" x14ac:dyDescent="0.25">
      <c r="A1" s="12" t="s">
        <v>386</v>
      </c>
      <c r="B1" s="12" t="s">
        <v>387</v>
      </c>
      <c r="C1" s="12" t="s">
        <v>388</v>
      </c>
      <c r="D1" s="12" t="s">
        <v>389</v>
      </c>
    </row>
    <row r="2" spans="1:4" x14ac:dyDescent="0.25">
      <c r="A2" s="14" t="s">
        <v>390</v>
      </c>
      <c r="B2" s="14" t="s">
        <v>391</v>
      </c>
      <c r="C2" s="14" t="s">
        <v>392</v>
      </c>
      <c r="D2" s="14" t="s">
        <v>330</v>
      </c>
    </row>
    <row r="3" spans="1:4" x14ac:dyDescent="0.25">
      <c r="A3" s="14" t="s">
        <v>393</v>
      </c>
      <c r="B3" s="14" t="s">
        <v>394</v>
      </c>
      <c r="C3" s="14" t="s">
        <v>395</v>
      </c>
      <c r="D3" s="14" t="s">
        <v>330</v>
      </c>
    </row>
    <row r="4" spans="1:4" x14ac:dyDescent="0.25">
      <c r="A4" s="14" t="s">
        <v>396</v>
      </c>
      <c r="B4" s="14" t="s">
        <v>397</v>
      </c>
      <c r="C4" s="14" t="s">
        <v>395</v>
      </c>
      <c r="D4" s="14" t="s">
        <v>330</v>
      </c>
    </row>
    <row r="5" spans="1:4" x14ac:dyDescent="0.25">
      <c r="A5" s="14" t="s">
        <v>398</v>
      </c>
      <c r="B5" s="14" t="s">
        <v>399</v>
      </c>
      <c r="C5" s="14" t="s">
        <v>400</v>
      </c>
      <c r="D5" s="14" t="s">
        <v>330</v>
      </c>
    </row>
    <row r="6" spans="1:4" x14ac:dyDescent="0.25">
      <c r="A6" s="14" t="s">
        <v>401</v>
      </c>
      <c r="B6" s="14" t="s">
        <v>402</v>
      </c>
      <c r="C6" s="14" t="s">
        <v>403</v>
      </c>
      <c r="D6" s="14" t="s">
        <v>330</v>
      </c>
    </row>
    <row r="7" spans="1:4" x14ac:dyDescent="0.25">
      <c r="A7" s="14" t="s">
        <v>404</v>
      </c>
      <c r="B7" s="14" t="s">
        <v>405</v>
      </c>
      <c r="C7" s="14" t="s">
        <v>406</v>
      </c>
      <c r="D7" s="14" t="s">
        <v>407</v>
      </c>
    </row>
    <row r="8" spans="1:4" x14ac:dyDescent="0.25">
      <c r="A8" s="14" t="s">
        <v>408</v>
      </c>
      <c r="B8" s="14" t="s">
        <v>409</v>
      </c>
      <c r="C8" s="14" t="s">
        <v>410</v>
      </c>
      <c r="D8" s="14" t="s">
        <v>330</v>
      </c>
    </row>
    <row r="9" spans="1:4" x14ac:dyDescent="0.25">
      <c r="A9" s="14" t="s">
        <v>411</v>
      </c>
      <c r="B9" s="14" t="s">
        <v>412</v>
      </c>
      <c r="C9" s="14" t="s">
        <v>413</v>
      </c>
      <c r="D9" s="14" t="s">
        <v>330</v>
      </c>
    </row>
    <row r="10" spans="1:4" x14ac:dyDescent="0.25">
      <c r="A10" s="14" t="s">
        <v>414</v>
      </c>
      <c r="B10" s="14" t="s">
        <v>415</v>
      </c>
      <c r="C10" s="14" t="s">
        <v>416</v>
      </c>
      <c r="D10" s="14" t="s">
        <v>330</v>
      </c>
    </row>
    <row r="11" spans="1:4" x14ac:dyDescent="0.25">
      <c r="A11" s="14" t="s">
        <v>417</v>
      </c>
      <c r="B11" s="14" t="s">
        <v>418</v>
      </c>
      <c r="C11" s="14" t="s">
        <v>419</v>
      </c>
      <c r="D11" s="14" t="s">
        <v>330</v>
      </c>
    </row>
    <row r="12" spans="1:4" x14ac:dyDescent="0.25">
      <c r="A12" t="s">
        <v>420</v>
      </c>
      <c r="B12" t="s">
        <v>421</v>
      </c>
      <c r="C12" t="s">
        <v>422</v>
      </c>
      <c r="D12" t="s">
        <v>330</v>
      </c>
    </row>
    <row r="13" spans="1:4" x14ac:dyDescent="0.25">
      <c r="A13" t="s">
        <v>423</v>
      </c>
      <c r="B13" t="s">
        <v>424</v>
      </c>
      <c r="C13" t="s">
        <v>406</v>
      </c>
      <c r="D13" t="s">
        <v>425</v>
      </c>
    </row>
    <row r="14" spans="1:4" x14ac:dyDescent="0.25">
      <c r="A14" t="s">
        <v>426</v>
      </c>
      <c r="B14" t="s">
        <v>427</v>
      </c>
      <c r="C14" t="s">
        <v>428</v>
      </c>
      <c r="D14" t="s">
        <v>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19</vt:i4>
      </vt:variant>
    </vt:vector>
  </HeadingPairs>
  <TitlesOfParts>
    <vt:vector size="26" baseType="lpstr">
      <vt:lpstr>Creation Workflow</vt:lpstr>
      <vt:lpstr>Item Master Template</vt:lpstr>
      <vt:lpstr>From System Master Lookup</vt:lpstr>
      <vt:lpstr>Field Notes &amp; Corrections</vt:lpstr>
      <vt:lpstr>Vendor Code Scheme</vt:lpstr>
      <vt:lpstr>Validation Lists</vt:lpstr>
      <vt:lpstr>Validation Rules</vt:lpstr>
      <vt:lpstr>List_ARTICLE_STYLE_CODE</vt:lpstr>
      <vt:lpstr>List_BRAND_NAME</vt:lpstr>
      <vt:lpstr>List_COLLECTION_TYPE</vt:lpstr>
      <vt:lpstr>List_COLOR</vt:lpstr>
      <vt:lpstr>List_CREATION_STATUS</vt:lpstr>
      <vt:lpstr>List_DESIGN_ATTRIBUTE</vt:lpstr>
      <vt:lpstr>List_GENDER</vt:lpstr>
      <vt:lpstr>List_HEEL_TYPE</vt:lpstr>
      <vt:lpstr>List_MERCHANDISE_CATEGORY</vt:lpstr>
      <vt:lpstr>List_MERCHANDISE_DEPARTMENT</vt:lpstr>
      <vt:lpstr>List_OUTSOLE_MATERIAL</vt:lpstr>
      <vt:lpstr>List_PRODUCT_TYPE</vt:lpstr>
      <vt:lpstr>List_PURCHASE_CLASS</vt:lpstr>
      <vt:lpstr>List_SIZE</vt:lpstr>
      <vt:lpstr>List_UOM</vt:lpstr>
      <vt:lpstr>List_UPPER_MATERIAL</vt:lpstr>
      <vt:lpstr>List_VENDOR_CODE</vt:lpstr>
      <vt:lpstr>List_WAREHOUSE_CODE</vt:lpstr>
      <vt:lpstr>List_YN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Pushpa Devi</cp:lastModifiedBy>
  <cp:revision>0</cp:revision>
  <dcterms:created xsi:type="dcterms:W3CDTF">2026-09-26T12:34:22Z</dcterms:created>
  <dcterms:modified xsi:type="dcterms:W3CDTF">2026-09-28T02:06:41Z</dcterms:modified>
  <dc:language>en-US</dc:language>
</cp:coreProperties>
</file>